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glb" ContentType="model/gltf.binary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haqrau-my.sharepoint.com/personal/s443700385_std_su_edu_sa/Documents/"/>
    </mc:Choice>
  </mc:AlternateContent>
  <xr:revisionPtr revIDLastSave="633" documentId="8_{755EAD5D-3D79-4A68-89A5-C3192A00A2C7}" xr6:coauthVersionLast="47" xr6:coauthVersionMax="47" xr10:uidLastSave="{82D1C41F-0657-4D14-8953-570B1F39CC59}"/>
  <bookViews>
    <workbookView xWindow="-110" yWindow="-110" windowWidth="19420" windowHeight="10300" activeTab="5" xr2:uid="{9E2E66A5-854B-4098-997D-3121EA6FBD0F}"/>
  </bookViews>
  <sheets>
    <sheet name="Sheet2" sheetId="3" r:id="rId1"/>
    <sheet name="Sheet3" sheetId="4" r:id="rId2"/>
    <sheet name="Sheet1" sheetId="5" r:id="rId3"/>
    <sheet name="Sheet4" sheetId="6" r:id="rId4"/>
    <sheet name="Sheet5" sheetId="7" r:id="rId5"/>
    <sheet name="Dashboard" sheetId="9" r:id="rId6"/>
    <sheet name="Sheet6" sheetId="8" r:id="rId7"/>
    <sheet name="dataset" sheetId="2" r:id="rId8"/>
  </sheets>
  <definedNames>
    <definedName name="ExternalData_1" localSheetId="7" hidden="1">dataset!$A$1:$F$22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set1_227d8ba2-1597-4629-ac0c-a144058d033c" name="dataset1" connection="Query - dataset1"/>
          <x15:modelTable id="dataset  2_df1322ed-0864-4e29-9e7a-8b681e0667cd" name="dataset  2" connection="Query - dataset (2)"/>
          <x15:modelTable id="Sheet1_25702121-954f-4f59-931d-d56ca46980bd" name="Sheet1" connection="Query - 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380382-9249-4E15-A2C7-1D1A5A9112BB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61D33B6C-1D9C-4194-9D52-1455405047E8}" name="Query - dataset (2)" description="Connection to the 'dataset (2)' query in the workbook." type="100" refreshedVersion="8" minRefreshableVersion="5">
    <extLst>
      <ext xmlns:x15="http://schemas.microsoft.com/office/spreadsheetml/2010/11/main" uri="{DE250136-89BD-433C-8126-D09CA5730AF9}">
        <x15:connection id="30198874-e171-4cf7-a73b-722555a1bae5"/>
      </ext>
    </extLst>
  </connection>
  <connection id="3" xr16:uid="{5564A173-E603-46F0-A5EC-54B3D449620D}" name="Query - dataset1" description="Connection to the 'dataset1' query in the workbook." type="100" refreshedVersion="8" minRefreshableVersion="5">
    <extLst>
      <ext xmlns:x15="http://schemas.microsoft.com/office/spreadsheetml/2010/11/main" uri="{DE250136-89BD-433C-8126-D09CA5730AF9}">
        <x15:connection id="9b33b56f-3098-4819-8e9c-ac2acb3d504e"/>
      </ext>
    </extLst>
  </connection>
  <connection id="4" xr16:uid="{D7B98B7E-63BE-4001-86B9-3BFFE84AB7D8}" name="Query - Sheet1" description="Connection to the 'Sheet1' query in the workbook." type="100" refreshedVersion="8" minRefreshableVersion="5">
    <extLst>
      <ext xmlns:x15="http://schemas.microsoft.com/office/spreadsheetml/2010/11/main" uri="{DE250136-89BD-433C-8126-D09CA5730AF9}">
        <x15:connection id="513b0027-00f6-4144-a7eb-3b5312ce244b"/>
      </ext>
    </extLst>
  </connection>
  <connection id="5" xr16:uid="{D4540FCB-07E4-4C0A-8210-CEC7D9C9AF8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<sst xmlns="http://schemas.openxmlformats.org/spreadsheetml/2006/main" count="96" uniqueCount="24">
  <si>
    <t>Date</t>
  </si>
  <si>
    <t>Equipment</t>
  </si>
  <si>
    <t>Operating_Hours</t>
  </si>
  <si>
    <t>Downtime_Hours</t>
  </si>
  <si>
    <t>Failure_Type</t>
  </si>
  <si>
    <t>Production_Output</t>
  </si>
  <si>
    <t>Pump A</t>
  </si>
  <si>
    <t>Leak</t>
  </si>
  <si>
    <t>Turbine A</t>
  </si>
  <si>
    <t>Overheat</t>
  </si>
  <si>
    <t>Generator A</t>
  </si>
  <si>
    <t>None</t>
  </si>
  <si>
    <t>Vibration</t>
  </si>
  <si>
    <t>Electrical</t>
  </si>
  <si>
    <t>Clog</t>
  </si>
  <si>
    <t>Temperature</t>
  </si>
  <si>
    <t>Row Labels</t>
  </si>
  <si>
    <t>Grand Total</t>
  </si>
  <si>
    <t>Count of Failure_Type</t>
  </si>
  <si>
    <t>Column Labels</t>
  </si>
  <si>
    <t>Average of Temperature</t>
  </si>
  <si>
    <t>Average of Vibration</t>
  </si>
  <si>
    <t>Sum of Downtime_Hours</t>
  </si>
  <si>
    <t>Average of Production_Output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</si>
</sst>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ر.س.‏&quot;_-;\-* #,##0.00\ &quot;ر.س.‏&quot;_-;_-* &quot;-&quot;??\ &quot;ر.س.‏&quot;_-;_-@_-"/>
  </numFmts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4" tint="-0.249977111117893"/>
      <name val="Arial"/>
      <family val="2"/>
      <charset val="178"/>
      <scheme val="minor"/>
    </font>
    <font>
      <sz val="8"/>
      <name val="Arial"/>
      <family val="2"/>
      <charset val="178"/>
      <scheme val="minor"/>
    </font>
    <font>
      <sz val="20"/>
      <color rgb="FFE1ECF3"/>
      <name val="Arial"/>
      <family val="2"/>
      <scheme val="minor"/>
    </font>
    <font>
      <sz val="11"/>
      <color rgb="FFE1ECF3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1ECF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3" tint="0.749992370372631"/>
      </top>
      <bottom/>
      <diagonal/>
    </border>
    <border>
      <left/>
      <right style="thin">
        <color theme="3" tint="0.749992370372631"/>
      </right>
      <top style="thin">
        <color theme="3" tint="0.749992370372631"/>
      </top>
      <bottom/>
      <diagonal/>
    </border>
    <border>
      <left/>
      <right style="thin">
        <color theme="3" tint="0.74999237037263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right"/>
    </xf>
    <xf numFmtId="14" fontId="0" fillId="0" borderId="0" xfId="0" applyNumberFormat="1"/>
    <xf numFmtId="14" fontId="2" fillId="2" borderId="0" xfId="1" applyNumberFormat="1" applyFont="1" applyFill="1" applyAlignment="1">
      <alignment horizontal="left"/>
    </xf>
    <xf numFmtId="14" fontId="2" fillId="0" borderId="0" xfId="0" applyNumberFormat="1" applyFont="1" applyAlignment="1">
      <alignment horizontal="left"/>
    </xf>
    <xf numFmtId="14" fontId="2" fillId="2" borderId="0" xfId="0" applyNumberFormat="1" applyFont="1" applyFill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14" fontId="0" fillId="0" borderId="0" xfId="0" applyNumberFormat="1" applyAlignment="1">
      <alignment horizontal="right"/>
    </xf>
    <xf numFmtId="0" fontId="5" fillId="3" borderId="0" xfId="0" applyFont="1" applyFill="1"/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1E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 equipment monitoring.xlsx]Sheet1!PivotTable3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800" baseline="0">
                <a:solidFill>
                  <a:schemeClr val="tx1"/>
                </a:solidFill>
              </a:rPr>
              <a:t>Equipment Temperature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Generator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Sheet1!$A$5:$A$12</c:f>
              <c:strCache>
                <c:ptCount val="7"/>
                <c:pt idx="0">
                  <c:v>1/1/2025</c:v>
                </c:pt>
                <c:pt idx="1">
                  <c:v>1/2/2025</c:v>
                </c:pt>
                <c:pt idx="2">
                  <c:v>1/3/2025</c:v>
                </c:pt>
                <c:pt idx="3">
                  <c:v>1/4/2025</c:v>
                </c:pt>
                <c:pt idx="4">
                  <c:v>1/5/2025</c:v>
                </c:pt>
                <c:pt idx="5">
                  <c:v>1/6/2025</c:v>
                </c:pt>
                <c:pt idx="6">
                  <c:v>1/7/2025</c:v>
                </c:pt>
              </c:strCache>
            </c:strRef>
          </c:cat>
          <c:val>
            <c:numRef>
              <c:f>Sheet1!$B$5:$B$12</c:f>
              <c:numCache>
                <c:formatCode>General</c:formatCode>
                <c:ptCount val="7"/>
                <c:pt idx="0">
                  <c:v>65</c:v>
                </c:pt>
                <c:pt idx="1">
                  <c:v>68</c:v>
                </c:pt>
                <c:pt idx="2">
                  <c:v>72</c:v>
                </c:pt>
                <c:pt idx="3">
                  <c:v>80</c:v>
                </c:pt>
                <c:pt idx="4">
                  <c:v>77</c:v>
                </c:pt>
                <c:pt idx="5">
                  <c:v>69</c:v>
                </c:pt>
                <c:pt idx="6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1-4D03-9E18-7DFAFC25DEB6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Pump 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Sheet1!$A$5:$A$12</c:f>
              <c:strCache>
                <c:ptCount val="7"/>
                <c:pt idx="0">
                  <c:v>1/1/2025</c:v>
                </c:pt>
                <c:pt idx="1">
                  <c:v>1/2/2025</c:v>
                </c:pt>
                <c:pt idx="2">
                  <c:v>1/3/2025</c:v>
                </c:pt>
                <c:pt idx="3">
                  <c:v>1/4/2025</c:v>
                </c:pt>
                <c:pt idx="4">
                  <c:v>1/5/2025</c:v>
                </c:pt>
                <c:pt idx="5">
                  <c:v>1/6/2025</c:v>
                </c:pt>
                <c:pt idx="6">
                  <c:v>1/7/2025</c:v>
                </c:pt>
              </c:strCache>
            </c:strRef>
          </c:cat>
          <c:val>
            <c:numRef>
              <c:f>Sheet1!$C$5:$C$12</c:f>
              <c:numCache>
                <c:formatCode>General</c:formatCode>
                <c:ptCount val="7"/>
                <c:pt idx="0">
                  <c:v>72</c:v>
                </c:pt>
                <c:pt idx="1">
                  <c:v>75</c:v>
                </c:pt>
                <c:pt idx="2">
                  <c:v>70</c:v>
                </c:pt>
                <c:pt idx="3">
                  <c:v>78</c:v>
                </c:pt>
                <c:pt idx="4">
                  <c:v>82</c:v>
                </c:pt>
                <c:pt idx="5">
                  <c:v>74</c:v>
                </c:pt>
                <c:pt idx="6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1-4D03-9E18-7DFAFC25DEB6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Turbine 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Sheet1!$A$5:$A$12</c:f>
              <c:strCache>
                <c:ptCount val="7"/>
                <c:pt idx="0">
                  <c:v>1/1/2025</c:v>
                </c:pt>
                <c:pt idx="1">
                  <c:v>1/2/2025</c:v>
                </c:pt>
                <c:pt idx="2">
                  <c:v>1/3/2025</c:v>
                </c:pt>
                <c:pt idx="3">
                  <c:v>1/4/2025</c:v>
                </c:pt>
                <c:pt idx="4">
                  <c:v>1/5/2025</c:v>
                </c:pt>
                <c:pt idx="5">
                  <c:v>1/6/2025</c:v>
                </c:pt>
                <c:pt idx="6">
                  <c:v>1/7/2025</c:v>
                </c:pt>
              </c:strCache>
            </c:strRef>
          </c:cat>
          <c:val>
            <c:numRef>
              <c:f>Sheet1!$D$5:$D$12</c:f>
              <c:numCache>
                <c:formatCode>General</c:formatCode>
                <c:ptCount val="7"/>
                <c:pt idx="0">
                  <c:v>88</c:v>
                </c:pt>
                <c:pt idx="1">
                  <c:v>92</c:v>
                </c:pt>
                <c:pt idx="2">
                  <c:v>95</c:v>
                </c:pt>
                <c:pt idx="3">
                  <c:v>85</c:v>
                </c:pt>
                <c:pt idx="4">
                  <c:v>89</c:v>
                </c:pt>
                <c:pt idx="5">
                  <c:v>91</c:v>
                </c:pt>
                <c:pt idx="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41-4D03-9E18-7DFAFC25D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5624064"/>
        <c:axId val="1015623104"/>
      </c:lineChart>
      <c:catAx>
        <c:axId val="10156240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15623104"/>
        <c:crosses val="autoZero"/>
        <c:auto val="1"/>
        <c:lblAlgn val="ctr"/>
        <c:lblOffset val="100"/>
        <c:noMultiLvlLbl val="0"/>
      </c:catAx>
      <c:valAx>
        <c:axId val="10156231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1562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 equipment monitoring.xlsx]Sheet4!PivotTable4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Equipment</a:t>
            </a:r>
            <a:r>
              <a:rPr lang="en-US" baseline="0"/>
              <a:t> Downtime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Generator A</c:v>
                </c:pt>
                <c:pt idx="1">
                  <c:v>Pump A</c:v>
                </c:pt>
                <c:pt idx="2">
                  <c:v>Turbine A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7</c:v>
                </c:pt>
                <c:pt idx="1">
                  <c:v>35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3-4A1C-8C5C-7CE5F003D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3273552"/>
        <c:axId val="993270672"/>
      </c:barChart>
      <c:catAx>
        <c:axId val="99327355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993270672"/>
        <c:crosses val="autoZero"/>
        <c:auto val="1"/>
        <c:lblAlgn val="ctr"/>
        <c:lblOffset val="100"/>
        <c:noMultiLvlLbl val="0"/>
      </c:catAx>
      <c:valAx>
        <c:axId val="993270672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99327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 equipment monitoring.xlsx]Sheet5!PivotTable5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Failure</a:t>
            </a:r>
            <a:r>
              <a:rPr lang="en-US" baseline="0"/>
              <a:t> Frequency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Clog</c:v>
                </c:pt>
                <c:pt idx="1">
                  <c:v>Electrical</c:v>
                </c:pt>
                <c:pt idx="2">
                  <c:v>Leak</c:v>
                </c:pt>
                <c:pt idx="3">
                  <c:v>Overheat</c:v>
                </c:pt>
                <c:pt idx="4">
                  <c:v>Vibration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6-4A40-9D41-CF083C1F3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902944"/>
        <c:axId val="1538905824"/>
      </c:barChart>
      <c:catAx>
        <c:axId val="153890294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38905824"/>
        <c:crosses val="autoZero"/>
        <c:auto val="1"/>
        <c:lblAlgn val="ctr"/>
        <c:lblOffset val="100"/>
        <c:noMultiLvlLbl val="0"/>
      </c:catAx>
      <c:valAx>
        <c:axId val="153890582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3890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13" Type="http://schemas.openxmlformats.org/officeDocument/2006/relationships/image" Target="../media/image12.png"/><Relationship Id="rId3" Type="http://schemas.openxmlformats.org/officeDocument/2006/relationships/chart" Target="../charts/chart3.xml"/><Relationship Id="rId7" Type="http://schemas.openxmlformats.org/officeDocument/2006/relationships/image" Target="../media/image6.png"/><Relationship Id="rId12" Type="http://schemas.openxmlformats.org/officeDocument/2006/relationships/image" Target="../media/image11.svg"/><Relationship Id="rId17" Type="http://schemas.openxmlformats.org/officeDocument/2006/relationships/image" Target="../media/image15.emf"/><Relationship Id="rId2" Type="http://schemas.openxmlformats.org/officeDocument/2006/relationships/chart" Target="../charts/chart2.xml"/><Relationship Id="rId16" Type="http://schemas.openxmlformats.org/officeDocument/2006/relationships/image" Target="../media/image14.png"/><Relationship Id="rId1" Type="http://schemas.openxmlformats.org/officeDocument/2006/relationships/chart" Target="../charts/chart1.xml"/><Relationship Id="rId6" Type="http://schemas.openxmlformats.org/officeDocument/2006/relationships/image" Target="../media/image5.sv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microsoft.com/office/2017/06/relationships/model3d" Target="../media/model3d1.glb"/><Relationship Id="rId10" Type="http://schemas.openxmlformats.org/officeDocument/2006/relationships/image" Target="../media/image9.svg"/><Relationship Id="rId4" Type="http://schemas.openxmlformats.org/officeDocument/2006/relationships/image" Target="../media/image3.emf"/><Relationship Id="rId9" Type="http://schemas.openxmlformats.org/officeDocument/2006/relationships/image" Target="../media/image8.png"/><Relationship Id="rId14" Type="http://schemas.openxmlformats.org/officeDocument/2006/relationships/image" Target="../media/image13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362396</xdr:colOff>
      <xdr:row>16</xdr:row>
      <xdr:rowOff>38485</xdr:rowOff>
    </xdr:from>
    <xdr:to>
      <xdr:col>67</xdr:col>
      <xdr:colOff>288636</xdr:colOff>
      <xdr:row>47</xdr:row>
      <xdr:rowOff>154233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E3BE6-A64D-75E7-BEDD-6C2B9FAAA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386522</xdr:colOff>
      <xdr:row>49</xdr:row>
      <xdr:rowOff>110434</xdr:rowOff>
    </xdr:from>
    <xdr:to>
      <xdr:col>53</xdr:col>
      <xdr:colOff>220870</xdr:colOff>
      <xdr:row>75</xdr:row>
      <xdr:rowOff>138042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F9ED3EC-DA28-DC75-42FB-BF1F37AB9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524567</xdr:colOff>
      <xdr:row>49</xdr:row>
      <xdr:rowOff>110435</xdr:rowOff>
    </xdr:from>
    <xdr:to>
      <xdr:col>67</xdr:col>
      <xdr:colOff>220870</xdr:colOff>
      <xdr:row>76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1D611610-648F-95C8-AC73-37D83987C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295603</xdr:colOff>
          <xdr:row>18</xdr:row>
          <xdr:rowOff>0</xdr:rowOff>
        </xdr:from>
        <xdr:to>
          <xdr:col>32</xdr:col>
          <xdr:colOff>492890</xdr:colOff>
          <xdr:row>25</xdr:row>
          <xdr:rowOff>54743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C7365C7C-C7A1-1D7C-58EC-688A1BE6D33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899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0741079524" y="3372069"/>
              <a:ext cx="6109356" cy="1280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39</xdr:col>
      <xdr:colOff>388195</xdr:colOff>
      <xdr:row>6</xdr:row>
      <xdr:rowOff>60432</xdr:rowOff>
    </xdr:from>
    <xdr:to>
      <xdr:col>44</xdr:col>
      <xdr:colOff>484408</xdr:colOff>
      <xdr:row>15</xdr:row>
      <xdr:rowOff>33047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773C721-AC0A-9FE7-EFA6-1D5416660016}"/>
            </a:ext>
          </a:extLst>
        </xdr:cNvPr>
        <xdr:cNvSpPr/>
      </xdr:nvSpPr>
      <xdr:spPr>
        <a:xfrm>
          <a:off x="10826541679" y="1344236"/>
          <a:ext cx="3409256" cy="1587724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 rtl="1"/>
          <a:r>
            <a:rPr lang="en-US" sz="4000"/>
            <a:t>Total</a:t>
          </a:r>
          <a:r>
            <a:rPr lang="en-US" sz="4000" baseline="0"/>
            <a:t> Downtime</a:t>
          </a:r>
        </a:p>
        <a:p>
          <a:pPr algn="l" rtl="1"/>
          <a:r>
            <a:rPr lang="en-US" sz="4000" baseline="0"/>
            <a:t> 57  Hours</a:t>
          </a:r>
          <a:endParaRPr lang="ar-SA" sz="4000"/>
        </a:p>
      </xdr:txBody>
    </xdr:sp>
    <xdr:clientData/>
  </xdr:twoCellAnchor>
  <xdr:twoCellAnchor>
    <xdr:from>
      <xdr:col>44</xdr:col>
      <xdr:colOff>644201</xdr:colOff>
      <xdr:row>6</xdr:row>
      <xdr:rowOff>59034</xdr:rowOff>
    </xdr:from>
    <xdr:to>
      <xdr:col>49</xdr:col>
      <xdr:colOff>413293</xdr:colOff>
      <xdr:row>14</xdr:row>
      <xdr:rowOff>110015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EBA864D-FE59-5C90-7DD4-66D49316F453}"/>
            </a:ext>
          </a:extLst>
        </xdr:cNvPr>
        <xdr:cNvSpPr/>
      </xdr:nvSpPr>
      <xdr:spPr>
        <a:xfrm>
          <a:off x="10823299750" y="1342838"/>
          <a:ext cx="3082136" cy="1486634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 rtl="1"/>
          <a:r>
            <a:rPr lang="en-US" sz="4000"/>
            <a:t>Total Failures </a:t>
          </a:r>
        </a:p>
        <a:p>
          <a:pPr algn="l" rtl="1"/>
          <a:r>
            <a:rPr lang="en-US" sz="4000"/>
            <a:t>18</a:t>
          </a:r>
          <a:endParaRPr lang="ar-SA" sz="4000"/>
        </a:p>
      </xdr:txBody>
    </xdr:sp>
    <xdr:clientData/>
  </xdr:twoCellAnchor>
  <xdr:twoCellAnchor>
    <xdr:from>
      <xdr:col>58</xdr:col>
      <xdr:colOff>560136</xdr:colOff>
      <xdr:row>6</xdr:row>
      <xdr:rowOff>40577</xdr:rowOff>
    </xdr:from>
    <xdr:to>
      <xdr:col>66</xdr:col>
      <xdr:colOff>260191</xdr:colOff>
      <xdr:row>15</xdr:row>
      <xdr:rowOff>27190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659B3B3-3759-8728-8454-FD8D6614E426}"/>
            </a:ext>
          </a:extLst>
        </xdr:cNvPr>
        <xdr:cNvSpPr/>
      </xdr:nvSpPr>
      <xdr:spPr>
        <a:xfrm>
          <a:off x="10812188504" y="1324381"/>
          <a:ext cx="5000925" cy="1601722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 rtl="1"/>
          <a:r>
            <a:rPr lang="en-US" sz="4000"/>
            <a:t>Highest Avg</a:t>
          </a:r>
          <a:r>
            <a:rPr lang="en-US" sz="4000" baseline="0"/>
            <a:t> </a:t>
          </a:r>
          <a:r>
            <a:rPr lang="en-US" sz="4000"/>
            <a:t>Temperature Turbine A </a:t>
          </a:r>
          <a:endParaRPr lang="ar-SA" sz="4000"/>
        </a:p>
      </xdr:txBody>
    </xdr:sp>
    <xdr:clientData/>
  </xdr:twoCellAnchor>
  <xdr:twoCellAnchor>
    <xdr:from>
      <xdr:col>49</xdr:col>
      <xdr:colOff>613167</xdr:colOff>
      <xdr:row>6</xdr:row>
      <xdr:rowOff>57309</xdr:rowOff>
    </xdr:from>
    <xdr:to>
      <xdr:col>58</xdr:col>
      <xdr:colOff>419568</xdr:colOff>
      <xdr:row>15</xdr:row>
      <xdr:rowOff>101649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804311D-84E6-1DD1-A9D4-085CF3E66002}"/>
            </a:ext>
          </a:extLst>
        </xdr:cNvPr>
        <xdr:cNvSpPr/>
      </xdr:nvSpPr>
      <xdr:spPr>
        <a:xfrm>
          <a:off x="10817329997" y="1341113"/>
          <a:ext cx="5769879" cy="1659449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 rtl="1"/>
          <a:r>
            <a:rPr lang="en-US" sz="4000"/>
            <a:t>Highest Production Output Generator A</a:t>
          </a:r>
          <a:endParaRPr lang="ar-SA" sz="4000"/>
        </a:p>
      </xdr:txBody>
    </xdr:sp>
    <xdr:clientData/>
  </xdr:twoCellAnchor>
  <xdr:twoCellAnchor editAs="oneCell">
    <xdr:from>
      <xdr:col>66</xdr:col>
      <xdr:colOff>532244</xdr:colOff>
      <xdr:row>48</xdr:row>
      <xdr:rowOff>57342</xdr:rowOff>
    </xdr:from>
    <xdr:to>
      <xdr:col>68</xdr:col>
      <xdr:colOff>125844</xdr:colOff>
      <xdr:row>53</xdr:row>
      <xdr:rowOff>82743</xdr:rowOff>
    </xdr:to>
    <xdr:pic>
      <xdr:nvPicPr>
        <xdr:cNvPr id="14" name="Graphic 13" descr="Bullseye outline">
          <a:extLst>
            <a:ext uri="{FF2B5EF4-FFF2-40B4-BE49-F238E27FC236}">
              <a16:creationId xmlns:a16="http://schemas.microsoft.com/office/drawing/2014/main" id="{F8B7DA05-4F21-3D94-E4DF-D1666E183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674493550" y="8658706"/>
          <a:ext cx="902085" cy="891310"/>
        </a:xfrm>
        <a:prstGeom prst="rect">
          <a:avLst/>
        </a:prstGeom>
      </xdr:spPr>
    </xdr:pic>
    <xdr:clientData/>
  </xdr:twoCellAnchor>
  <xdr:twoCellAnchor editAs="oneCell">
    <xdr:from>
      <xdr:col>37</xdr:col>
      <xdr:colOff>460575</xdr:colOff>
      <xdr:row>44</xdr:row>
      <xdr:rowOff>100121</xdr:rowOff>
    </xdr:from>
    <xdr:to>
      <xdr:col>39</xdr:col>
      <xdr:colOff>60332</xdr:colOff>
      <xdr:row>49</xdr:row>
      <xdr:rowOff>125521</xdr:rowOff>
    </xdr:to>
    <xdr:pic>
      <xdr:nvPicPr>
        <xdr:cNvPr id="16" name="Graphic 15" descr="Database outline">
          <a:extLst>
            <a:ext uri="{FF2B5EF4-FFF2-40B4-BE49-F238E27FC236}">
              <a16:creationId xmlns:a16="http://schemas.microsoft.com/office/drawing/2014/main" id="{136669D6-DFCE-B0E2-D3C0-E2E885BA9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693532092" y="8008757"/>
          <a:ext cx="908242" cy="891309"/>
        </a:xfrm>
        <a:prstGeom prst="rect">
          <a:avLst/>
        </a:prstGeom>
      </xdr:spPr>
    </xdr:pic>
    <xdr:clientData/>
  </xdr:twoCellAnchor>
  <xdr:twoCellAnchor editAs="oneCell">
    <xdr:from>
      <xdr:col>23</xdr:col>
      <xdr:colOff>180200</xdr:colOff>
      <xdr:row>16</xdr:row>
      <xdr:rowOff>10300</xdr:rowOff>
    </xdr:from>
    <xdr:to>
      <xdr:col>24</xdr:col>
      <xdr:colOff>434200</xdr:colOff>
      <xdr:row>21</xdr:row>
      <xdr:rowOff>35700</xdr:rowOff>
    </xdr:to>
    <xdr:pic>
      <xdr:nvPicPr>
        <xdr:cNvPr id="18" name="Graphic 17" descr="Gantt Chart with solid fill" hidden="1">
          <a:extLst>
            <a:ext uri="{FF2B5EF4-FFF2-40B4-BE49-F238E27FC236}">
              <a16:creationId xmlns:a16="http://schemas.microsoft.com/office/drawing/2014/main" id="{66CB2570-947D-DEEF-6954-3D0C9B936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803709800" y="31091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66</xdr:col>
      <xdr:colOff>601577</xdr:colOff>
      <xdr:row>11</xdr:row>
      <xdr:rowOff>140214</xdr:rowOff>
    </xdr:from>
    <xdr:to>
      <xdr:col>68</xdr:col>
      <xdr:colOff>194659</xdr:colOff>
      <xdr:row>16</xdr:row>
      <xdr:rowOff>159694</xdr:rowOff>
    </xdr:to>
    <xdr:pic>
      <xdr:nvPicPr>
        <xdr:cNvPr id="20" name="Graphic 19" descr="Speedometer Low outline">
          <a:extLst>
            <a:ext uri="{FF2B5EF4-FFF2-40B4-BE49-F238E27FC236}">
              <a16:creationId xmlns:a16="http://schemas.microsoft.com/office/drawing/2014/main" id="{FBAE6591-008A-577F-C2BE-250222CCE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0674424735" y="2333850"/>
          <a:ext cx="901567" cy="885389"/>
        </a:xfrm>
        <a:prstGeom prst="rect">
          <a:avLst/>
        </a:prstGeom>
      </xdr:spPr>
    </xdr:pic>
    <xdr:clientData/>
  </xdr:twoCellAnchor>
  <xdr:twoCellAnchor>
    <xdr:from>
      <xdr:col>30</xdr:col>
      <xdr:colOff>510393</xdr:colOff>
      <xdr:row>7</xdr:row>
      <xdr:rowOff>105182</xdr:rowOff>
    </xdr:from>
    <xdr:to>
      <xdr:col>33</xdr:col>
      <xdr:colOff>131559</xdr:colOff>
      <xdr:row>16</xdr:row>
      <xdr:rowOff>68118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F28A7AB-2AB4-8FFA-D879-CCFC67A97F9E}"/>
            </a:ext>
          </a:extLst>
        </xdr:cNvPr>
        <xdr:cNvSpPr/>
      </xdr:nvSpPr>
      <xdr:spPr>
        <a:xfrm>
          <a:off x="10915209082" y="1603131"/>
          <a:ext cx="1623859" cy="1574859"/>
        </a:xfrm>
        <a:prstGeom prst="rect">
          <a:avLst/>
        </a:prstGeom>
        <a:solidFill>
          <a:srgbClr val="E1ECF3"/>
        </a:solidFill>
        <a:ln>
          <a:solidFill>
            <a:srgbClr val="E1ECF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298450</xdr:colOff>
          <xdr:row>18</xdr:row>
          <xdr:rowOff>0</xdr:rowOff>
        </xdr:from>
        <xdr:to>
          <xdr:col>32</xdr:col>
          <xdr:colOff>495300</xdr:colOff>
          <xdr:row>25</xdr:row>
          <xdr:rowOff>57150</xdr:rowOff>
        </xdr:to>
        <xdr:pic>
          <xdr:nvPicPr>
            <xdr:cNvPr id="8218" name="Picture 6">
              <a:extLst>
                <a:ext uri="{FF2B5EF4-FFF2-40B4-BE49-F238E27FC236}">
                  <a16:creationId xmlns:a16="http://schemas.microsoft.com/office/drawing/2014/main" id="{E3ED714C-FBCB-9176-6F6B-28366CF7F42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8992"/>
                </a:ext>
              </a:extLst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919450" y="3422650"/>
              <a:ext cx="6140450" cy="1301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298450</xdr:colOff>
          <xdr:row>18</xdr:row>
          <xdr:rowOff>0</xdr:rowOff>
        </xdr:from>
        <xdr:to>
          <xdr:col>32</xdr:col>
          <xdr:colOff>495300</xdr:colOff>
          <xdr:row>25</xdr:row>
          <xdr:rowOff>57150</xdr:rowOff>
        </xdr:to>
        <xdr:pic>
          <xdr:nvPicPr>
            <xdr:cNvPr id="8232" name="Picture 40">
              <a:extLst>
                <a:ext uri="{FF2B5EF4-FFF2-40B4-BE49-F238E27FC236}">
                  <a16:creationId xmlns:a16="http://schemas.microsoft.com/office/drawing/2014/main" id="{8B2BBBF3-5286-E0D9-6FA5-2670BB59CD9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8993"/>
                </a:ext>
              </a:extLst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919450" y="3422650"/>
              <a:ext cx="6140450" cy="1301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298450</xdr:colOff>
          <xdr:row>18</xdr:row>
          <xdr:rowOff>0</xdr:rowOff>
        </xdr:from>
        <xdr:to>
          <xdr:col>32</xdr:col>
          <xdr:colOff>495300</xdr:colOff>
          <xdr:row>25</xdr:row>
          <xdr:rowOff>57150</xdr:rowOff>
        </xdr:to>
        <xdr:pic>
          <xdr:nvPicPr>
            <xdr:cNvPr id="8237" name="Picture 45">
              <a:extLst>
                <a:ext uri="{FF2B5EF4-FFF2-40B4-BE49-F238E27FC236}">
                  <a16:creationId xmlns:a16="http://schemas.microsoft.com/office/drawing/2014/main" id="{31599DC6-D257-5DC2-4628-C7B4757973C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8994"/>
                </a:ext>
              </a:extLst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919450" y="3422650"/>
              <a:ext cx="6140450" cy="1301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45</xdr:col>
      <xdr:colOff>151848</xdr:colOff>
      <xdr:row>0</xdr:row>
      <xdr:rowOff>96630</xdr:rowOff>
    </xdr:from>
    <xdr:to>
      <xdr:col>61</xdr:col>
      <xdr:colOff>41413</xdr:colOff>
      <xdr:row>5</xdr:row>
      <xdr:rowOff>124239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C9F4B52-F714-2875-EED4-20B94F9566F0}"/>
            </a:ext>
          </a:extLst>
        </xdr:cNvPr>
        <xdr:cNvSpPr/>
      </xdr:nvSpPr>
      <xdr:spPr>
        <a:xfrm>
          <a:off x="10815720326" y="96630"/>
          <a:ext cx="10491304" cy="11319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en-US" sz="4800"/>
            <a:t>Smart</a:t>
          </a:r>
          <a:r>
            <a:rPr lang="en-US" sz="4800" baseline="0"/>
            <a:t> Equipment Monitoring  Dashboard</a:t>
          </a:r>
          <a:endParaRPr lang="ar-SA" sz="4800"/>
        </a:p>
      </xdr:txBody>
    </xdr:sp>
    <xdr:clientData/>
  </xdr:twoCellAnchor>
  <xdr:twoCellAnchor editAs="oneCell">
    <xdr:from>
      <xdr:col>44</xdr:col>
      <xdr:colOff>397013</xdr:colOff>
      <xdr:row>2</xdr:row>
      <xdr:rowOff>179456</xdr:rowOff>
    </xdr:from>
    <xdr:to>
      <xdr:col>45</xdr:col>
      <xdr:colOff>648804</xdr:colOff>
      <xdr:row>7</xdr:row>
      <xdr:rowOff>72334</xdr:rowOff>
    </xdr:to>
    <xdr:pic>
      <xdr:nvPicPr>
        <xdr:cNvPr id="9" name="Graphic 8" descr="Gears outline">
          <a:extLst>
            <a:ext uri="{FF2B5EF4-FFF2-40B4-BE49-F238E27FC236}">
              <a16:creationId xmlns:a16="http://schemas.microsoft.com/office/drawing/2014/main" id="{EA5B4CBA-26E6-C9A8-9C14-DF3DD2C36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825714674" y="621195"/>
          <a:ext cx="914400" cy="914400"/>
        </a:xfrm>
        <a:prstGeom prst="rect">
          <a:avLst/>
        </a:prstGeom>
      </xdr:spPr>
    </xdr:pic>
    <xdr:clientData/>
  </xdr:twoCellAnchor>
  <xdr:twoCellAnchor>
    <xdr:from>
      <xdr:col>71</xdr:col>
      <xdr:colOff>638916</xdr:colOff>
      <xdr:row>47</xdr:row>
      <xdr:rowOff>63037</xdr:rowOff>
    </xdr:from>
    <xdr:to>
      <xdr:col>80</xdr:col>
      <xdr:colOff>375706</xdr:colOff>
      <xdr:row>78</xdr:row>
      <xdr:rowOff>74082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13" name="3D Model 12" descr="Upward Trend">
              <a:extLst>
                <a:ext uri="{FF2B5EF4-FFF2-40B4-BE49-F238E27FC236}">
                  <a16:creationId xmlns:a16="http://schemas.microsoft.com/office/drawing/2014/main" id="{00A30244-37AB-4670-FBF1-AA3CFCF068AA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5">
                <am3d:spPr>
                  <a:xfrm>
                    <a:off x="0" y="0"/>
                    <a:ext cx="5723933" cy="5635331"/>
                  </a:xfrm>
                  <a:prstGeom prst="rect">
                    <a:avLst/>
                  </a:prstGeom>
                  <a:noFill/>
                  <a:ln>
                    <a:noFill/>
                  </a:ln>
                </am3d:spPr>
                <am3d:camera>
                  <am3d:pos x="0" y="0" z="65012918"/>
                  <am3d:up dx="0" dy="36000000" dz="0"/>
                  <am3d:lookAt x="0" y="0" z="0"/>
                  <am3d:perspective fov="2700000"/>
                </am3d:camera>
                <am3d:trans>
                  <am3d:meterPerModelUnit n="101711" d="1000000"/>
                  <am3d:preTrans dx="0" dy="-16609428" dz="0"/>
                  <am3d:scale>
                    <am3d:sx n="1000000" d="1000000"/>
                    <am3d:sy n="1000000" d="1000000"/>
                    <am3d:sz n="1000000" d="1000000"/>
                  </am3d:scale>
                  <am3d:rot ax="-27061" ay="-118083" az="936"/>
                  <am3d:postTrans dx="0" dy="0" dz="0"/>
                </am3d:trans>
                <am3d:raster rName="Office3DRenderer" rVer="16.0.8326">
                  <am3d:blip r:embed="rId16"/>
                </am3d:raster>
                <am3d:objViewport viewportSz="7990253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13" name="3D Model 12" descr="Upward Trend">
              <a:extLst>
                <a:ext uri="{FF2B5EF4-FFF2-40B4-BE49-F238E27FC236}">
                  <a16:creationId xmlns:a16="http://schemas.microsoft.com/office/drawing/2014/main" id="{00A30244-37AB-4670-FBF1-AA3CFCF068AA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845666199" y="8741370"/>
              <a:ext cx="5723933" cy="5635331"/>
            </a:xfrm>
            <a:prstGeom prst="rect">
              <a:avLst/>
            </a:prstGeom>
            <a:noFill/>
            <a:ln>
              <a:noFill/>
            </a:ln>
          </xdr:spPr>
        </xdr:pic>
      </mc:Fallback>
    </mc:AlternateContent>
    <xdr:clientData/>
  </xdr:twoCellAnchor>
  <xdr:twoCellAnchor>
    <xdr:from>
      <xdr:col>31</xdr:col>
      <xdr:colOff>607392</xdr:colOff>
      <xdr:row>79</xdr:row>
      <xdr:rowOff>1403</xdr:rowOff>
    </xdr:from>
    <xdr:to>
      <xdr:col>41</xdr:col>
      <xdr:colOff>516835</xdr:colOff>
      <xdr:row>104</xdr:row>
      <xdr:rowOff>55217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3A6895B-15B4-9923-636E-F1AE774FB5F6}"/>
            </a:ext>
          </a:extLst>
        </xdr:cNvPr>
        <xdr:cNvSpPr/>
      </xdr:nvSpPr>
      <xdr:spPr>
        <a:xfrm>
          <a:off x="10828497078" y="13364012"/>
          <a:ext cx="6535530" cy="419511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 rtl="1"/>
          <a:r>
            <a:rPr lang="en-US" sz="2800"/>
            <a:t>Key Insights</a:t>
          </a:r>
        </a:p>
        <a:p>
          <a:pPr algn="l" rtl="1"/>
          <a:r>
            <a:rPr lang="en-US" sz="2800"/>
            <a:t>* Pump A recorded the highest downtime.</a:t>
          </a:r>
        </a:p>
        <a:p>
          <a:pPr algn="l" rtl="1"/>
          <a:r>
            <a:rPr lang="en-US" sz="2800"/>
            <a:t>* Turbine A showed the highest average temperature.</a:t>
          </a:r>
        </a:p>
        <a:p>
          <a:pPr algn="l" rtl="1"/>
          <a:r>
            <a:rPr lang="en-US" sz="2800"/>
            <a:t>* Generator A achieved the highest production output.</a:t>
          </a:r>
        </a:p>
        <a:p>
          <a:pPr algn="l" rtl="1"/>
          <a:r>
            <a:rPr lang="en-US" sz="2800"/>
            <a:t>* Leak and Electrical failures were among the most common failure types</a:t>
          </a:r>
          <a:r>
            <a:rPr lang="en-US" sz="1800"/>
            <a:t>.</a:t>
          </a:r>
          <a:endParaRPr lang="ar-SA" sz="18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298450</xdr:colOff>
          <xdr:row>18</xdr:row>
          <xdr:rowOff>0</xdr:rowOff>
        </xdr:from>
        <xdr:to>
          <xdr:col>32</xdr:col>
          <xdr:colOff>495300</xdr:colOff>
          <xdr:row>25</xdr:row>
          <xdr:rowOff>57150</xdr:rowOff>
        </xdr:to>
        <xdr:pic>
          <xdr:nvPicPr>
            <xdr:cNvPr id="8289" name="Picture 6">
              <a:extLst>
                <a:ext uri="{FF2B5EF4-FFF2-40B4-BE49-F238E27FC236}">
                  <a16:creationId xmlns:a16="http://schemas.microsoft.com/office/drawing/2014/main" id="{A61842A0-03AE-9AB6-6A34-8AF9CA5979A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8995"/>
                </a:ext>
              </a:extLst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919450" y="3422650"/>
              <a:ext cx="6140450" cy="1301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298450</xdr:colOff>
          <xdr:row>18</xdr:row>
          <xdr:rowOff>0</xdr:rowOff>
        </xdr:from>
        <xdr:to>
          <xdr:col>32</xdr:col>
          <xdr:colOff>495300</xdr:colOff>
          <xdr:row>25</xdr:row>
          <xdr:rowOff>57150</xdr:rowOff>
        </xdr:to>
        <xdr:pic>
          <xdr:nvPicPr>
            <xdr:cNvPr id="8290" name="Picture 98">
              <a:extLst>
                <a:ext uri="{FF2B5EF4-FFF2-40B4-BE49-F238E27FC236}">
                  <a16:creationId xmlns:a16="http://schemas.microsoft.com/office/drawing/2014/main" id="{68F49DBB-51B0-4B0E-15C2-06F5DFEE5AB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8996"/>
                </a:ext>
              </a:extLst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919450" y="3422650"/>
              <a:ext cx="6140450" cy="1301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298450</xdr:colOff>
          <xdr:row>18</xdr:row>
          <xdr:rowOff>0</xdr:rowOff>
        </xdr:from>
        <xdr:to>
          <xdr:col>32</xdr:col>
          <xdr:colOff>495300</xdr:colOff>
          <xdr:row>25</xdr:row>
          <xdr:rowOff>57150</xdr:rowOff>
        </xdr:to>
        <xdr:pic>
          <xdr:nvPicPr>
            <xdr:cNvPr id="8291" name="Picture 40">
              <a:extLst>
                <a:ext uri="{FF2B5EF4-FFF2-40B4-BE49-F238E27FC236}">
                  <a16:creationId xmlns:a16="http://schemas.microsoft.com/office/drawing/2014/main" id="{C656C5CC-E39B-EDF6-4191-548DD81468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8997"/>
                </a:ext>
              </a:extLst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919450" y="3422650"/>
              <a:ext cx="6140450" cy="1301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298450</xdr:colOff>
          <xdr:row>18</xdr:row>
          <xdr:rowOff>0</xdr:rowOff>
        </xdr:from>
        <xdr:to>
          <xdr:col>32</xdr:col>
          <xdr:colOff>495300</xdr:colOff>
          <xdr:row>25</xdr:row>
          <xdr:rowOff>57150</xdr:rowOff>
        </xdr:to>
        <xdr:pic>
          <xdr:nvPicPr>
            <xdr:cNvPr id="8292" name="Picture 45">
              <a:extLst>
                <a:ext uri="{FF2B5EF4-FFF2-40B4-BE49-F238E27FC236}">
                  <a16:creationId xmlns:a16="http://schemas.microsoft.com/office/drawing/2014/main" id="{F56CFE26-B893-11E0-13CE-92B79136A83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8998"/>
                </a:ext>
              </a:extLst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919450" y="3422650"/>
              <a:ext cx="6140450" cy="1301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298450</xdr:colOff>
          <xdr:row>18</xdr:row>
          <xdr:rowOff>0</xdr:rowOff>
        </xdr:from>
        <xdr:to>
          <xdr:col>32</xdr:col>
          <xdr:colOff>495300</xdr:colOff>
          <xdr:row>25</xdr:row>
          <xdr:rowOff>57150</xdr:rowOff>
        </xdr:to>
        <xdr:pic>
          <xdr:nvPicPr>
            <xdr:cNvPr id="8314" name="Picture 122">
              <a:extLst>
                <a:ext uri="{FF2B5EF4-FFF2-40B4-BE49-F238E27FC236}">
                  <a16:creationId xmlns:a16="http://schemas.microsoft.com/office/drawing/2014/main" id="{B855F344-32C1-0E00-0146-D9C9AE27E02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8999"/>
                </a:ext>
              </a:extLst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919450" y="3422650"/>
              <a:ext cx="6140450" cy="1301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298450</xdr:colOff>
          <xdr:row>18</xdr:row>
          <xdr:rowOff>0</xdr:rowOff>
        </xdr:from>
        <xdr:to>
          <xdr:col>32</xdr:col>
          <xdr:colOff>495300</xdr:colOff>
          <xdr:row>25</xdr:row>
          <xdr:rowOff>57150</xdr:rowOff>
        </xdr:to>
        <xdr:pic>
          <xdr:nvPicPr>
            <xdr:cNvPr id="8315" name="Picture 123">
              <a:extLst>
                <a:ext uri="{FF2B5EF4-FFF2-40B4-BE49-F238E27FC236}">
                  <a16:creationId xmlns:a16="http://schemas.microsoft.com/office/drawing/2014/main" id="{5623CAED-A10C-EACE-81CE-79F306B409D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9000"/>
                </a:ext>
              </a:extLst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919450" y="3422650"/>
              <a:ext cx="6140450" cy="1301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298450</xdr:colOff>
          <xdr:row>18</xdr:row>
          <xdr:rowOff>0</xdr:rowOff>
        </xdr:from>
        <xdr:to>
          <xdr:col>32</xdr:col>
          <xdr:colOff>495300</xdr:colOff>
          <xdr:row>25</xdr:row>
          <xdr:rowOff>57150</xdr:rowOff>
        </xdr:to>
        <xdr:pic>
          <xdr:nvPicPr>
            <xdr:cNvPr id="8316" name="Picture 124">
              <a:extLst>
                <a:ext uri="{FF2B5EF4-FFF2-40B4-BE49-F238E27FC236}">
                  <a16:creationId xmlns:a16="http://schemas.microsoft.com/office/drawing/2014/main" id="{AA81E822-DBAF-8C5D-2808-3D2EF1A2BBB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9001"/>
                </a:ext>
              </a:extLst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919450" y="3422650"/>
              <a:ext cx="6140450" cy="1301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298450</xdr:colOff>
          <xdr:row>18</xdr:row>
          <xdr:rowOff>0</xdr:rowOff>
        </xdr:from>
        <xdr:to>
          <xdr:col>32</xdr:col>
          <xdr:colOff>495300</xdr:colOff>
          <xdr:row>25</xdr:row>
          <xdr:rowOff>57150</xdr:rowOff>
        </xdr:to>
        <xdr:pic>
          <xdr:nvPicPr>
            <xdr:cNvPr id="8317" name="Picture 125">
              <a:extLst>
                <a:ext uri="{FF2B5EF4-FFF2-40B4-BE49-F238E27FC236}">
                  <a16:creationId xmlns:a16="http://schemas.microsoft.com/office/drawing/2014/main" id="{57B29422-DFB4-E854-C3EC-184DF076800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9002"/>
                </a:ext>
              </a:extLst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5919450" y="3422650"/>
              <a:ext cx="6140450" cy="1301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29</xdr:col>
      <xdr:colOff>0</xdr:colOff>
      <xdr:row>0</xdr:row>
      <xdr:rowOff>0</xdr:rowOff>
    </xdr:from>
    <xdr:to>
      <xdr:col>81</xdr:col>
      <xdr:colOff>6350</xdr:colOff>
      <xdr:row>99</xdr:row>
      <xdr:rowOff>6350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51AEFE3-ED93-AD06-98A3-AF560B730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6494850" y="0"/>
          <a:ext cx="34347150" cy="1783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0.78604</cdr:x>
      <cdr:y>0.02293</cdr:y>
    </cdr:from>
    <cdr:to>
      <cdr:x>0.98126</cdr:x>
      <cdr:y>0.31987</cdr:y>
    </cdr:to>
    <cdr:pic>
      <cdr:nvPicPr>
        <cdr:cNvPr id="5" name="Graphic 4" descr="Pie chart with solid fill">
          <a:extLst xmlns:a="http://schemas.openxmlformats.org/drawingml/2006/main">
            <a:ext uri="{FF2B5EF4-FFF2-40B4-BE49-F238E27FC236}">
              <a16:creationId xmlns:a16="http://schemas.microsoft.com/office/drawing/2014/main" id="{519D6AFF-DA10-85CB-DA80-737751CD78D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297463" y="61051"/>
          <a:ext cx="818943" cy="790741"/>
        </a:xfrm>
        <a:prstGeom xmlns:a="http://schemas.openxmlformats.org/drawingml/2006/main" prst="rect">
          <a:avLst/>
        </a:prstGeom>
      </cdr:spPr>
    </cdr:pic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1" refreshedDate="46166.743811805558" createdVersion="8" refreshedVersion="8" minRefreshableVersion="3" recordCount="21" xr:uid="{A10D417B-B549-4044-915A-8FDA43A5F1F3}">
  <cacheSource type="worksheet">
    <worksheetSource name="dataset"/>
  </cacheSource>
  <cacheFields count="8">
    <cacheField name="Date" numFmtId="14">
      <sharedItems containsSemiMixedTypes="0" containsNonDate="0" containsDate="1" containsString="0" minDate="2025-01-01T00:00:00" maxDate="2025-01-08T00:00:00" count="7">
        <d v="2025-01-01T00:00:00"/>
        <d v="2025-01-02T00:00:00"/>
        <d v="2025-01-03T00:00:00"/>
        <d v="2025-01-04T00:00:00"/>
        <d v="2025-01-05T00:00:00"/>
        <d v="2025-01-06T00:00:00"/>
        <d v="2025-01-07T00:00:00"/>
      </sharedItems>
    </cacheField>
    <cacheField name="Equipment" numFmtId="0">
      <sharedItems count="3">
        <s v="Pump A"/>
        <s v="Turbine A"/>
        <s v="Generator A"/>
      </sharedItems>
    </cacheField>
    <cacheField name="Operating_Hours" numFmtId="0">
      <sharedItems containsSemiMixedTypes="0" containsString="0" containsNumber="1" containsInteger="1" minValue="17" maxValue="24"/>
    </cacheField>
    <cacheField name="Downtime_Hours" numFmtId="0">
      <sharedItems containsSemiMixedTypes="0" containsString="0" containsNumber="1" containsInteger="1" minValue="0" maxValue="7"/>
    </cacheField>
    <cacheField name="Failure_Type" numFmtId="0">
      <sharedItems count="6">
        <s v="Leak"/>
        <s v="Overheat"/>
        <s v="None"/>
        <s v="Vibration"/>
        <s v="Electrical"/>
        <s v="Clog"/>
      </sharedItems>
    </cacheField>
    <cacheField name="Production_Output" numFmtId="0">
      <sharedItems containsSemiMixedTypes="0" containsString="0" containsNumber="1" containsInteger="1" minValue="90" maxValue="510"/>
    </cacheField>
    <cacheField name="Temperature" numFmtId="0">
      <sharedItems containsSemiMixedTypes="0" containsString="0" containsNumber="1" containsInteger="1" minValue="65" maxValue="95"/>
    </cacheField>
    <cacheField name="Vibration" numFmtId="0">
      <sharedItems containsSemiMixedTypes="0" containsString="0" containsNumber="1" minValue="0.2" maxValue="0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n v="20"/>
    <n v="4"/>
    <x v="0"/>
    <n v="120"/>
    <n v="72"/>
    <n v="0.2"/>
  </r>
  <r>
    <x v="0"/>
    <x v="1"/>
    <n v="22"/>
    <n v="2"/>
    <x v="1"/>
    <n v="300"/>
    <n v="88"/>
    <n v="0.5"/>
  </r>
  <r>
    <x v="0"/>
    <x v="2"/>
    <n v="24"/>
    <n v="0"/>
    <x v="2"/>
    <n v="500"/>
    <n v="65"/>
    <n v="0.3"/>
  </r>
  <r>
    <x v="1"/>
    <x v="0"/>
    <n v="18"/>
    <n v="6"/>
    <x v="0"/>
    <n v="100"/>
    <n v="75"/>
    <n v="0.3"/>
  </r>
  <r>
    <x v="1"/>
    <x v="1"/>
    <n v="21"/>
    <n v="3"/>
    <x v="3"/>
    <n v="280"/>
    <n v="92"/>
    <n v="0.6"/>
  </r>
  <r>
    <x v="1"/>
    <x v="2"/>
    <n v="23"/>
    <n v="1"/>
    <x v="4"/>
    <n v="480"/>
    <n v="68"/>
    <n v="0.4"/>
  </r>
  <r>
    <x v="2"/>
    <x v="0"/>
    <n v="19"/>
    <n v="5"/>
    <x v="5"/>
    <n v="110"/>
    <n v="70"/>
    <n v="0.2"/>
  </r>
  <r>
    <x v="2"/>
    <x v="1"/>
    <n v="24"/>
    <n v="0"/>
    <x v="2"/>
    <n v="320"/>
    <n v="95"/>
    <n v="0.7"/>
  </r>
  <r>
    <x v="2"/>
    <x v="2"/>
    <n v="22"/>
    <n v="2"/>
    <x v="4"/>
    <n v="470"/>
    <n v="72"/>
    <n v="0.3"/>
  </r>
  <r>
    <x v="3"/>
    <x v="0"/>
    <n v="21"/>
    <n v="3"/>
    <x v="0"/>
    <n v="130"/>
    <n v="78"/>
    <n v="0.4"/>
  </r>
  <r>
    <x v="3"/>
    <x v="1"/>
    <n v="20"/>
    <n v="4"/>
    <x v="1"/>
    <n v="260"/>
    <n v="85"/>
    <n v="0.5"/>
  </r>
  <r>
    <x v="3"/>
    <x v="2"/>
    <n v="24"/>
    <n v="0"/>
    <x v="2"/>
    <n v="510"/>
    <n v="80"/>
    <n v="0.5"/>
  </r>
  <r>
    <x v="4"/>
    <x v="0"/>
    <n v="17"/>
    <n v="7"/>
    <x v="5"/>
    <n v="90"/>
    <n v="82"/>
    <n v="0.5"/>
  </r>
  <r>
    <x v="4"/>
    <x v="1"/>
    <n v="23"/>
    <n v="1"/>
    <x v="2"/>
    <n v="310"/>
    <n v="89"/>
    <n v="0.6"/>
  </r>
  <r>
    <x v="4"/>
    <x v="2"/>
    <n v="21"/>
    <n v="3"/>
    <x v="4"/>
    <n v="460"/>
    <n v="77"/>
    <n v="0.4"/>
  </r>
  <r>
    <x v="5"/>
    <x v="0"/>
    <n v="20"/>
    <n v="4"/>
    <x v="0"/>
    <n v="115"/>
    <n v="74"/>
    <n v="0.3"/>
  </r>
  <r>
    <x v="5"/>
    <x v="1"/>
    <n v="22"/>
    <n v="2"/>
    <x v="3"/>
    <n v="295"/>
    <n v="91"/>
    <n v="0.6"/>
  </r>
  <r>
    <x v="5"/>
    <x v="2"/>
    <n v="24"/>
    <n v="0"/>
    <x v="2"/>
    <n v="505"/>
    <n v="69"/>
    <n v="0.3"/>
  </r>
  <r>
    <x v="6"/>
    <x v="0"/>
    <n v="18"/>
    <n v="6"/>
    <x v="5"/>
    <n v="95"/>
    <n v="73"/>
    <n v="0.2"/>
  </r>
  <r>
    <x v="6"/>
    <x v="1"/>
    <n v="21"/>
    <n v="3"/>
    <x v="1"/>
    <n v="275"/>
    <n v="87"/>
    <n v="0.5"/>
  </r>
  <r>
    <x v="6"/>
    <x v="2"/>
    <n v="23"/>
    <n v="1"/>
    <x v="4"/>
    <n v="485"/>
    <n v="76"/>
    <n v="0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85C24-B6C5-485D-BAC7-A099974985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1" firstDataRow="2" firstDataCol="1"/>
  <pivotFields count="8">
    <pivotField axis="axisCol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Failure_Typ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69146-CDAF-4962-B53A-16C372D42F8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8">
    <pivotField numFmtId="14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emperature" fld="6" subtotal="average" baseField="1" baseItem="0"/>
    <dataField name="Average of Vibration" fld="7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EA533-C234-4360-A2AC-3B5E986405B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0">
  <location ref="A3:E12" firstHeaderRow="1" firstDataRow="2" firstDataCol="1"/>
  <pivotFields count="8">
    <pivotField axis="axisRow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Temperature" fld="6" subtotal="average" baseField="0" baseItem="0"/>
  </dataFields>
  <chartFormats count="3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0DFD1-961E-4D3E-AE0C-CB012D83429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0">
  <location ref="A3:B7" firstHeaderRow="1" firstDataRow="1" firstDataCol="1"/>
  <pivotFields count="8">
    <pivotField numFmtId="1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owntime_Hours" fld="3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6B4D4-940E-4431-8CA8-4A366282CC4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0">
  <location ref="A3:B9" firstHeaderRow="1" firstDataRow="1" firstDataCol="1"/>
  <pivotFields count="8">
    <pivotField numFmtId="14" showAll="0"/>
    <pivotField showAll="0"/>
    <pivotField showAll="0"/>
    <pivotField showAll="0"/>
    <pivotField axis="axisRow" dataField="1" showAll="0">
      <items count="7">
        <item x="5"/>
        <item x="4"/>
        <item x="0"/>
        <item h="1" x="2"/>
        <item x="1"/>
        <item x="3"/>
        <item t="default"/>
      </items>
    </pivotField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ount of Failure_Type" fld="4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DCCEB-C5D5-4F0E-AAB8-632104E967A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/>
  <pivotFields count="8">
    <pivotField numFmtId="1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dataField="1"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Temperature" fld="6" subtotal="average" baseField="1" baseItem="0"/>
    <dataField name="Sum of Downtime_Hours" fld="3" baseField="1" baseItem="0"/>
    <dataField name="Average of Production_Output" fld="5" subtotal="average" baseField="1" baseItem="0"/>
    <dataField name="Average of Vibration" fld="7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F99A25-A51F-459B-8D29-D2FF00B85D25}" autoFormatId="16" applyNumberFormats="0" applyBorderFormats="0" applyFontFormats="0" applyPatternFormats="0" applyAlignmentFormats="0" applyWidthHeightFormats="0">
  <queryTableRefresh nextId="13" unboundColumnsRight="2">
    <queryTableFields count="8">
      <queryTableField id="1" name="Date" tableColumnId="1"/>
      <queryTableField id="2" name="Equipment" tableColumnId="2"/>
      <queryTableField id="3" name="Operating_Hours" tableColumnId="3"/>
      <queryTableField id="4" name="Downtime_Hours" tableColumnId="4"/>
      <queryTableField id="5" name="Failure_Type" tableColumnId="5"/>
      <queryTableField id="6" name="Production_Output" tableColumnId="6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F68ED-F120-47CB-86E1-44B1E06EF06F}" name="dataset" displayName="dataset" ref="A1:H22" tableType="queryTable" totalsRowShown="0">
  <autoFilter ref="A1:H22" xr:uid="{3C1F68ED-F120-47CB-86E1-44B1E06EF06F}"/>
  <tableColumns count="8">
    <tableColumn id="1" xr3:uid="{E36AD83B-F757-44D0-B695-3E0C04B01B20}" uniqueName="1" name="Date" queryTableFieldId="1" dataDxfId="10"/>
    <tableColumn id="2" xr3:uid="{80E59460-5823-410C-A6A3-3107F40C094B}" uniqueName="2" name="Equipment" queryTableFieldId="2" dataDxfId="9"/>
    <tableColumn id="3" xr3:uid="{9BBA5E1C-D816-4FF8-A562-FEBA0989D197}" uniqueName="3" name="Operating_Hours" queryTableFieldId="3" dataDxfId="8"/>
    <tableColumn id="4" xr3:uid="{0C6A9681-57CC-4812-9DC1-5680DF119054}" uniqueName="4" name="Downtime_Hours" queryTableFieldId="4" dataDxfId="7"/>
    <tableColumn id="5" xr3:uid="{A0378FFA-C940-4E68-A704-9DFF97A53611}" uniqueName="5" name="Failure_Type" queryTableFieldId="5" dataDxfId="6"/>
    <tableColumn id="6" xr3:uid="{C7D83A59-BE7A-44AA-AA11-B576DC661CBA}" uniqueName="6" name="Production_Output" queryTableFieldId="6" dataDxfId="5"/>
    <tableColumn id="11" xr3:uid="{42FFF3DC-BF2B-427B-BA1D-7D4B149D965D}" uniqueName="11" name="Temperature" queryTableFieldId="11" dataDxfId="4"/>
    <tableColumn id="12" xr3:uid="{0ED1BD10-3A76-4216-B3F4-69231142C547}" uniqueName="12" name="Vibration" queryTableFieldId="12" dataDxfId="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7023-A8C1-47A5-A7BD-7A3CC5C9E6EA}">
  <dimension ref="A3:I8"/>
  <sheetViews>
    <sheetView rightToLeft="1" workbookViewId="0">
      <selection activeCell="B20" sqref="B20"/>
    </sheetView>
  </sheetViews>
  <sheetFormatPr defaultRowHeight="14" x14ac:dyDescent="0.3"/>
  <cols>
    <col min="1" max="1" width="19.6640625" bestFit="1" customWidth="1"/>
    <col min="2" max="2" width="15.58203125" bestFit="1" customWidth="1"/>
    <col min="3" max="8" width="7.75" bestFit="1" customWidth="1"/>
    <col min="9" max="9" width="10.83203125" bestFit="1" customWidth="1"/>
  </cols>
  <sheetData>
    <row r="3" spans="1:9" x14ac:dyDescent="0.3">
      <c r="A3" s="4" t="s">
        <v>18</v>
      </c>
      <c r="B3" s="4" t="s">
        <v>19</v>
      </c>
    </row>
    <row r="4" spans="1:9" x14ac:dyDescent="0.3">
      <c r="A4" s="4" t="s">
        <v>16</v>
      </c>
      <c r="B4" s="6">
        <v>45658</v>
      </c>
      <c r="C4" s="6">
        <v>45659</v>
      </c>
      <c r="D4" s="6">
        <v>45660</v>
      </c>
      <c r="E4" s="6">
        <v>45661</v>
      </c>
      <c r="F4" s="6">
        <v>45662</v>
      </c>
      <c r="G4" s="6">
        <v>45663</v>
      </c>
      <c r="H4" s="6">
        <v>45664</v>
      </c>
      <c r="I4" s="6" t="s">
        <v>17</v>
      </c>
    </row>
    <row r="5" spans="1:9" x14ac:dyDescent="0.3">
      <c r="A5" s="5" t="s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7</v>
      </c>
    </row>
    <row r="6" spans="1:9" x14ac:dyDescent="0.3">
      <c r="A6" s="5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7</v>
      </c>
    </row>
    <row r="7" spans="1:9" x14ac:dyDescent="0.3">
      <c r="A7" s="5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7</v>
      </c>
    </row>
    <row r="8" spans="1:9" x14ac:dyDescent="0.3">
      <c r="A8" s="5" t="s">
        <v>17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9E29-D45A-4DFC-9531-191494A81B76}">
  <dimension ref="A3:C7"/>
  <sheetViews>
    <sheetView rightToLeft="1" workbookViewId="0">
      <selection activeCell="A3" sqref="A3"/>
    </sheetView>
  </sheetViews>
  <sheetFormatPr defaultRowHeight="14" x14ac:dyDescent="0.3"/>
  <cols>
    <col min="1" max="1" width="12.9140625" bestFit="1" customWidth="1"/>
    <col min="2" max="2" width="21.6640625" bestFit="1" customWidth="1"/>
    <col min="3" max="3" width="18.25" bestFit="1" customWidth="1"/>
  </cols>
  <sheetData>
    <row r="3" spans="1:3" x14ac:dyDescent="0.3">
      <c r="A3" s="4" t="s">
        <v>16</v>
      </c>
      <c r="B3" t="s">
        <v>20</v>
      </c>
      <c r="C3" t="s">
        <v>21</v>
      </c>
    </row>
    <row r="4" spans="1:3" x14ac:dyDescent="0.3">
      <c r="A4" s="5" t="s">
        <v>10</v>
      </c>
      <c r="B4">
        <v>72.428571428571431</v>
      </c>
      <c r="C4">
        <v>0.37142857142857139</v>
      </c>
    </row>
    <row r="5" spans="1:3" x14ac:dyDescent="0.3">
      <c r="A5" s="5" t="s">
        <v>6</v>
      </c>
      <c r="B5">
        <v>74.857142857142861</v>
      </c>
      <c r="C5">
        <v>0.3</v>
      </c>
    </row>
    <row r="6" spans="1:3" x14ac:dyDescent="0.3">
      <c r="A6" s="5" t="s">
        <v>8</v>
      </c>
      <c r="B6">
        <v>89.571428571428569</v>
      </c>
      <c r="C6">
        <v>0.5714285714285714</v>
      </c>
    </row>
    <row r="7" spans="1:3" x14ac:dyDescent="0.3">
      <c r="A7" s="5" t="s">
        <v>17</v>
      </c>
      <c r="B7">
        <v>78.952380952380949</v>
      </c>
      <c r="C7">
        <v>0.41428571428571426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7D5FB-3CD6-4E91-8564-B00F21A9A192}">
  <dimension ref="A3:E12"/>
  <sheetViews>
    <sheetView rightToLeft="1" zoomScale="78" workbookViewId="0">
      <selection activeCell="B19" sqref="B19"/>
    </sheetView>
  </sheetViews>
  <sheetFormatPr defaultRowHeight="14" x14ac:dyDescent="0.3"/>
  <cols>
    <col min="1" max="1" width="21.6640625" bestFit="1" customWidth="1"/>
    <col min="2" max="2" width="15.58203125" bestFit="1" customWidth="1"/>
    <col min="3" max="5" width="11.75" bestFit="1" customWidth="1"/>
  </cols>
  <sheetData>
    <row r="3" spans="1:5" x14ac:dyDescent="0.3">
      <c r="A3" s="4" t="s">
        <v>20</v>
      </c>
      <c r="B3" s="4" t="s">
        <v>19</v>
      </c>
    </row>
    <row r="4" spans="1:5" x14ac:dyDescent="0.3">
      <c r="A4" s="4" t="s">
        <v>16</v>
      </c>
      <c r="B4" t="s">
        <v>10</v>
      </c>
      <c r="C4" t="s">
        <v>6</v>
      </c>
      <c r="D4" t="s">
        <v>8</v>
      </c>
      <c r="E4" t="s">
        <v>17</v>
      </c>
    </row>
    <row r="5" spans="1:5" x14ac:dyDescent="0.3">
      <c r="A5" s="14">
        <v>45658</v>
      </c>
      <c r="B5">
        <v>65</v>
      </c>
      <c r="C5">
        <v>72</v>
      </c>
      <c r="D5">
        <v>88</v>
      </c>
      <c r="E5">
        <v>75</v>
      </c>
    </row>
    <row r="6" spans="1:5" x14ac:dyDescent="0.3">
      <c r="A6" s="14">
        <v>45659</v>
      </c>
      <c r="B6">
        <v>68</v>
      </c>
      <c r="C6">
        <v>75</v>
      </c>
      <c r="D6">
        <v>92</v>
      </c>
      <c r="E6">
        <v>78.333333333333329</v>
      </c>
    </row>
    <row r="7" spans="1:5" x14ac:dyDescent="0.3">
      <c r="A7" s="14">
        <v>45660</v>
      </c>
      <c r="B7">
        <v>72</v>
      </c>
      <c r="C7">
        <v>70</v>
      </c>
      <c r="D7">
        <v>95</v>
      </c>
      <c r="E7">
        <v>79</v>
      </c>
    </row>
    <row r="8" spans="1:5" x14ac:dyDescent="0.3">
      <c r="A8" s="14">
        <v>45661</v>
      </c>
      <c r="B8">
        <v>80</v>
      </c>
      <c r="C8">
        <v>78</v>
      </c>
      <c r="D8">
        <v>85</v>
      </c>
      <c r="E8">
        <v>81</v>
      </c>
    </row>
    <row r="9" spans="1:5" x14ac:dyDescent="0.3">
      <c r="A9" s="14">
        <v>45662</v>
      </c>
      <c r="B9">
        <v>77</v>
      </c>
      <c r="C9">
        <v>82</v>
      </c>
      <c r="D9">
        <v>89</v>
      </c>
      <c r="E9">
        <v>82.666666666666671</v>
      </c>
    </row>
    <row r="10" spans="1:5" x14ac:dyDescent="0.3">
      <c r="A10" s="14">
        <v>45663</v>
      </c>
      <c r="B10">
        <v>69</v>
      </c>
      <c r="C10">
        <v>74</v>
      </c>
      <c r="D10">
        <v>91</v>
      </c>
      <c r="E10">
        <v>78</v>
      </c>
    </row>
    <row r="11" spans="1:5" x14ac:dyDescent="0.3">
      <c r="A11" s="14">
        <v>45664</v>
      </c>
      <c r="B11">
        <v>76</v>
      </c>
      <c r="C11">
        <v>73</v>
      </c>
      <c r="D11">
        <v>87</v>
      </c>
      <c r="E11">
        <v>78.666666666666671</v>
      </c>
    </row>
    <row r="12" spans="1:5" x14ac:dyDescent="0.3">
      <c r="A12" s="14" t="s">
        <v>17</v>
      </c>
      <c r="B12">
        <v>72.428571428571431</v>
      </c>
      <c r="C12">
        <v>74.857142857142861</v>
      </c>
      <c r="D12">
        <v>89.571428571428569</v>
      </c>
      <c r="E12">
        <v>78.952380952380949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0218-0AFA-4114-B973-91965E9A914A}">
  <dimension ref="A3:B7"/>
  <sheetViews>
    <sheetView rightToLeft="1" workbookViewId="0">
      <selection activeCell="A3" sqref="A3"/>
    </sheetView>
  </sheetViews>
  <sheetFormatPr defaultRowHeight="14" x14ac:dyDescent="0.3"/>
  <cols>
    <col min="1" max="1" width="12.9140625" bestFit="1" customWidth="1"/>
    <col min="2" max="2" width="22.4140625" bestFit="1" customWidth="1"/>
    <col min="3" max="3" width="15.58203125" bestFit="1" customWidth="1"/>
    <col min="4" max="4" width="10.83203125" bestFit="1" customWidth="1"/>
  </cols>
  <sheetData>
    <row r="3" spans="1:2" x14ac:dyDescent="0.3">
      <c r="A3" s="4" t="s">
        <v>16</v>
      </c>
      <c r="B3" t="s">
        <v>22</v>
      </c>
    </row>
    <row r="4" spans="1:2" x14ac:dyDescent="0.3">
      <c r="A4" s="5" t="s">
        <v>10</v>
      </c>
      <c r="B4">
        <v>7</v>
      </c>
    </row>
    <row r="5" spans="1:2" x14ac:dyDescent="0.3">
      <c r="A5" s="5" t="s">
        <v>6</v>
      </c>
      <c r="B5">
        <v>35</v>
      </c>
    </row>
    <row r="6" spans="1:2" x14ac:dyDescent="0.3">
      <c r="A6" s="5" t="s">
        <v>8</v>
      </c>
      <c r="B6">
        <v>15</v>
      </c>
    </row>
    <row r="7" spans="1:2" x14ac:dyDescent="0.3">
      <c r="A7" s="5" t="s">
        <v>17</v>
      </c>
      <c r="B7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D373-B287-4DA4-8A18-B3BA6FC10DBC}">
  <dimension ref="A3:B9"/>
  <sheetViews>
    <sheetView rightToLeft="1" workbookViewId="0">
      <selection activeCell="A3" sqref="A3"/>
    </sheetView>
  </sheetViews>
  <sheetFormatPr defaultRowHeight="14" x14ac:dyDescent="0.3"/>
  <cols>
    <col min="1" max="1" width="12.9140625" bestFit="1" customWidth="1"/>
    <col min="2" max="2" width="19.6640625" bestFit="1" customWidth="1"/>
  </cols>
  <sheetData>
    <row r="3" spans="1:2" x14ac:dyDescent="0.3">
      <c r="A3" s="4" t="s">
        <v>16</v>
      </c>
      <c r="B3" t="s">
        <v>18</v>
      </c>
    </row>
    <row r="4" spans="1:2" x14ac:dyDescent="0.3">
      <c r="A4" s="5" t="s">
        <v>14</v>
      </c>
      <c r="B4">
        <v>3</v>
      </c>
    </row>
    <row r="5" spans="1:2" x14ac:dyDescent="0.3">
      <c r="A5" s="5" t="s">
        <v>13</v>
      </c>
      <c r="B5">
        <v>4</v>
      </c>
    </row>
    <row r="6" spans="1:2" x14ac:dyDescent="0.3">
      <c r="A6" s="5" t="s">
        <v>7</v>
      </c>
      <c r="B6">
        <v>4</v>
      </c>
    </row>
    <row r="7" spans="1:2" x14ac:dyDescent="0.3">
      <c r="A7" s="5" t="s">
        <v>9</v>
      </c>
      <c r="B7">
        <v>3</v>
      </c>
    </row>
    <row r="8" spans="1:2" x14ac:dyDescent="0.3">
      <c r="A8" s="5" t="s">
        <v>12</v>
      </c>
      <c r="B8">
        <v>2</v>
      </c>
    </row>
    <row r="9" spans="1:2" x14ac:dyDescent="0.3">
      <c r="A9" s="5" t="s">
        <v>17</v>
      </c>
      <c r="B9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178B-ABA9-4942-8DAB-C69016A957E9}">
  <dimension ref="R1:U9"/>
  <sheetViews>
    <sheetView showGridLines="0" rightToLeft="1" tabSelected="1" topLeftCell="J50" zoomScale="21" zoomScaleNormal="58" workbookViewId="0">
      <selection activeCell="AD99" sqref="AD1:CC99"/>
    </sheetView>
  </sheetViews>
  <sheetFormatPr defaultRowHeight="14" x14ac:dyDescent="0.3"/>
  <cols>
    <col min="1" max="6" width="8.6640625" style="15"/>
    <col min="7" max="7" width="10.5" style="15" customWidth="1"/>
    <col min="8" max="8" width="12.5" style="15" customWidth="1"/>
    <col min="9" max="16384" width="8.6640625" style="15"/>
  </cols>
  <sheetData>
    <row r="1" spans="18:21" ht="17.5" customHeight="1" x14ac:dyDescent="0.3">
      <c r="R1" s="16"/>
      <c r="S1" s="17"/>
      <c r="T1" s="17"/>
      <c r="U1" s="18"/>
    </row>
    <row r="2" spans="18:21" ht="17.5" customHeight="1" x14ac:dyDescent="0.3">
      <c r="R2" s="19"/>
      <c r="S2" s="19"/>
      <c r="T2" s="19"/>
      <c r="U2" s="20"/>
    </row>
    <row r="3" spans="18:21" ht="17.5" customHeight="1" x14ac:dyDescent="0.3">
      <c r="R3" s="19"/>
      <c r="S3" s="19"/>
      <c r="T3" s="19"/>
      <c r="U3" s="20"/>
    </row>
    <row r="4" spans="18:21" ht="17.5" customHeight="1" x14ac:dyDescent="0.3"/>
    <row r="5" spans="18:21" ht="17.5" customHeight="1" x14ac:dyDescent="0.3"/>
    <row r="6" spans="18:21" ht="14" customHeight="1" x14ac:dyDescent="0.3"/>
    <row r="7" spans="18:21" ht="14" customHeight="1" x14ac:dyDescent="0.3"/>
    <row r="8" spans="18:21" ht="14" customHeight="1" x14ac:dyDescent="0.3"/>
    <row r="9" spans="18:21" ht="14" customHeight="1" x14ac:dyDescent="0.3"/>
  </sheetData>
  <mergeCells count="1">
    <mergeCell ref="R1:U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CEF2-39BD-49AF-84AB-6620F24C5C00}">
  <dimension ref="A3:E7"/>
  <sheetViews>
    <sheetView rightToLeft="1" workbookViewId="0">
      <selection activeCell="E9" sqref="E9"/>
    </sheetView>
  </sheetViews>
  <sheetFormatPr defaultRowHeight="14" x14ac:dyDescent="0.3"/>
  <cols>
    <col min="1" max="1" width="12.9140625" bestFit="1" customWidth="1"/>
    <col min="2" max="2" width="21.6640625" bestFit="1" customWidth="1"/>
    <col min="3" max="3" width="22.4140625" bestFit="1" customWidth="1"/>
    <col min="4" max="4" width="27" bestFit="1" customWidth="1"/>
    <col min="5" max="5" width="18.25" bestFit="1" customWidth="1"/>
  </cols>
  <sheetData>
    <row r="3" spans="1:5" x14ac:dyDescent="0.3">
      <c r="A3" s="4" t="s">
        <v>16</v>
      </c>
      <c r="B3" t="s">
        <v>20</v>
      </c>
      <c r="C3" t="s">
        <v>22</v>
      </c>
      <c r="D3" t="s">
        <v>23</v>
      </c>
      <c r="E3" t="s">
        <v>21</v>
      </c>
    </row>
    <row r="4" spans="1:5" x14ac:dyDescent="0.3">
      <c r="A4" s="5" t="s">
        <v>10</v>
      </c>
      <c r="B4">
        <v>72.428571428571431</v>
      </c>
      <c r="C4">
        <v>7</v>
      </c>
      <c r="D4">
        <v>487.14285714285717</v>
      </c>
      <c r="E4">
        <v>0.37142857142857139</v>
      </c>
    </row>
    <row r="5" spans="1:5" x14ac:dyDescent="0.3">
      <c r="A5" s="5" t="s">
        <v>6</v>
      </c>
      <c r="B5">
        <v>74.857142857142861</v>
      </c>
      <c r="C5">
        <v>35</v>
      </c>
      <c r="D5">
        <v>108.57142857142857</v>
      </c>
      <c r="E5">
        <v>0.3</v>
      </c>
    </row>
    <row r="6" spans="1:5" x14ac:dyDescent="0.3">
      <c r="A6" s="5" t="s">
        <v>8</v>
      </c>
      <c r="B6">
        <v>89.571428571428569</v>
      </c>
      <c r="C6">
        <v>15</v>
      </c>
      <c r="D6">
        <v>291.42857142857144</v>
      </c>
      <c r="E6">
        <v>0.5714285714285714</v>
      </c>
    </row>
    <row r="7" spans="1:5" x14ac:dyDescent="0.3">
      <c r="A7" s="5" t="s">
        <v>17</v>
      </c>
      <c r="B7">
        <v>78.952380952380949</v>
      </c>
      <c r="C7">
        <v>57</v>
      </c>
      <c r="D7">
        <v>295.71428571428572</v>
      </c>
      <c r="E7">
        <v>0.41428571428571426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E5FC-4CAD-4056-9420-19CEB21F985E}">
  <dimension ref="A1:K43"/>
  <sheetViews>
    <sheetView zoomScale="87" workbookViewId="0">
      <selection activeCell="O11" sqref="O11"/>
    </sheetView>
  </sheetViews>
  <sheetFormatPr defaultRowHeight="14" x14ac:dyDescent="0.3"/>
  <cols>
    <col min="1" max="1" width="17.4140625" bestFit="1" customWidth="1"/>
    <col min="2" max="2" width="12" bestFit="1" customWidth="1"/>
    <col min="3" max="3" width="17.4140625" bestFit="1" customWidth="1"/>
    <col min="4" max="4" width="17.75" bestFit="1" customWidth="1"/>
    <col min="5" max="5" width="13.75" bestFit="1" customWidth="1"/>
    <col min="6" max="6" width="19" customWidth="1"/>
    <col min="9" max="9" width="8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12</v>
      </c>
      <c r="J1" s="7">
        <v>45658</v>
      </c>
      <c r="K1" s="11">
        <v>72</v>
      </c>
    </row>
    <row r="2" spans="1:11" x14ac:dyDescent="0.3">
      <c r="A2" s="1">
        <v>45658</v>
      </c>
      <c r="B2" s="2" t="s">
        <v>6</v>
      </c>
      <c r="C2" s="2">
        <v>20</v>
      </c>
      <c r="D2" s="2">
        <v>4</v>
      </c>
      <c r="E2" s="2" t="s">
        <v>7</v>
      </c>
      <c r="F2" s="2">
        <v>120</v>
      </c>
      <c r="G2" s="2">
        <v>72</v>
      </c>
      <c r="H2" s="2">
        <v>0.2</v>
      </c>
      <c r="J2" s="8">
        <v>45658</v>
      </c>
      <c r="K2" s="12">
        <v>88</v>
      </c>
    </row>
    <row r="3" spans="1:11" x14ac:dyDescent="0.3">
      <c r="A3" s="3">
        <v>45658</v>
      </c>
      <c r="B3" s="2" t="s">
        <v>8</v>
      </c>
      <c r="C3" s="2">
        <v>22</v>
      </c>
      <c r="D3" s="2">
        <v>2</v>
      </c>
      <c r="E3" s="2" t="s">
        <v>9</v>
      </c>
      <c r="F3" s="2">
        <v>300</v>
      </c>
      <c r="G3" s="2">
        <v>88</v>
      </c>
      <c r="H3" s="2">
        <v>0.5</v>
      </c>
      <c r="J3" s="9">
        <v>45658</v>
      </c>
      <c r="K3" s="11">
        <v>65</v>
      </c>
    </row>
    <row r="4" spans="1:11" x14ac:dyDescent="0.3">
      <c r="A4" s="3">
        <v>45658</v>
      </c>
      <c r="B4" s="2" t="s">
        <v>10</v>
      </c>
      <c r="C4" s="2">
        <v>24</v>
      </c>
      <c r="D4" s="2">
        <v>0</v>
      </c>
      <c r="E4" s="2" t="s">
        <v>11</v>
      </c>
      <c r="F4" s="2">
        <v>500</v>
      </c>
      <c r="G4" s="2">
        <v>65</v>
      </c>
      <c r="H4" s="2">
        <v>0.3</v>
      </c>
      <c r="J4" s="8">
        <v>45659</v>
      </c>
      <c r="K4" s="12">
        <v>75</v>
      </c>
    </row>
    <row r="5" spans="1:11" x14ac:dyDescent="0.3">
      <c r="A5" s="3">
        <v>45659</v>
      </c>
      <c r="B5" s="2" t="s">
        <v>6</v>
      </c>
      <c r="C5" s="2">
        <v>18</v>
      </c>
      <c r="D5" s="2">
        <v>6</v>
      </c>
      <c r="E5" s="2" t="s">
        <v>7</v>
      </c>
      <c r="F5" s="2">
        <v>100</v>
      </c>
      <c r="G5" s="2">
        <v>75</v>
      </c>
      <c r="H5" s="2">
        <v>0.3</v>
      </c>
      <c r="J5" s="9">
        <v>45659</v>
      </c>
      <c r="K5" s="11">
        <v>92</v>
      </c>
    </row>
    <row r="6" spans="1:11" x14ac:dyDescent="0.3">
      <c r="A6" s="3">
        <v>45659</v>
      </c>
      <c r="B6" s="2" t="s">
        <v>8</v>
      </c>
      <c r="C6" s="2">
        <v>21</v>
      </c>
      <c r="D6" s="2">
        <v>3</v>
      </c>
      <c r="E6" s="2" t="s">
        <v>12</v>
      </c>
      <c r="F6" s="2">
        <v>280</v>
      </c>
      <c r="G6" s="2">
        <v>92</v>
      </c>
      <c r="H6" s="2">
        <v>0.6</v>
      </c>
      <c r="J6" s="8">
        <v>45659</v>
      </c>
      <c r="K6" s="12">
        <v>68</v>
      </c>
    </row>
    <row r="7" spans="1:11" x14ac:dyDescent="0.3">
      <c r="A7" s="3">
        <v>45659</v>
      </c>
      <c r="B7" s="2" t="s">
        <v>10</v>
      </c>
      <c r="C7" s="2">
        <v>23</v>
      </c>
      <c r="D7" s="2">
        <v>1</v>
      </c>
      <c r="E7" s="2" t="s">
        <v>13</v>
      </c>
      <c r="F7" s="2">
        <v>480</v>
      </c>
      <c r="G7" s="2">
        <v>68</v>
      </c>
      <c r="H7" s="2">
        <v>0.4</v>
      </c>
      <c r="J7" s="9">
        <v>45660</v>
      </c>
      <c r="K7" s="11">
        <v>70</v>
      </c>
    </row>
    <row r="8" spans="1:11" x14ac:dyDescent="0.3">
      <c r="A8" s="3">
        <v>45660</v>
      </c>
      <c r="B8" s="2" t="s">
        <v>6</v>
      </c>
      <c r="C8" s="2">
        <v>19</v>
      </c>
      <c r="D8" s="2">
        <v>5</v>
      </c>
      <c r="E8" s="2" t="s">
        <v>14</v>
      </c>
      <c r="F8" s="2">
        <v>110</v>
      </c>
      <c r="G8" s="2">
        <v>70</v>
      </c>
      <c r="H8" s="2">
        <v>0.2</v>
      </c>
      <c r="J8" s="8">
        <v>45660</v>
      </c>
      <c r="K8" s="12">
        <v>95</v>
      </c>
    </row>
    <row r="9" spans="1:11" x14ac:dyDescent="0.3">
      <c r="A9" s="3">
        <v>45660</v>
      </c>
      <c r="B9" s="2" t="s">
        <v>8</v>
      </c>
      <c r="C9" s="2">
        <v>24</v>
      </c>
      <c r="D9" s="2">
        <v>0</v>
      </c>
      <c r="E9" s="2" t="s">
        <v>11</v>
      </c>
      <c r="F9" s="2">
        <v>320</v>
      </c>
      <c r="G9" s="2">
        <v>95</v>
      </c>
      <c r="H9" s="2">
        <v>0.7</v>
      </c>
      <c r="J9" s="9">
        <v>45660</v>
      </c>
      <c r="K9" s="11">
        <v>72</v>
      </c>
    </row>
    <row r="10" spans="1:11" x14ac:dyDescent="0.3">
      <c r="A10" s="3">
        <v>45660</v>
      </c>
      <c r="B10" s="2" t="s">
        <v>10</v>
      </c>
      <c r="C10" s="2">
        <v>22</v>
      </c>
      <c r="D10" s="2">
        <v>2</v>
      </c>
      <c r="E10" s="2" t="s">
        <v>13</v>
      </c>
      <c r="F10" s="2">
        <v>470</v>
      </c>
      <c r="G10" s="2">
        <v>72</v>
      </c>
      <c r="H10" s="2">
        <v>0.3</v>
      </c>
      <c r="J10" s="8">
        <v>45661</v>
      </c>
      <c r="K10" s="12">
        <v>78</v>
      </c>
    </row>
    <row r="11" spans="1:11" x14ac:dyDescent="0.3">
      <c r="A11" s="3">
        <v>45661</v>
      </c>
      <c r="B11" s="2" t="s">
        <v>6</v>
      </c>
      <c r="C11" s="2">
        <v>21</v>
      </c>
      <c r="D11" s="2">
        <v>3</v>
      </c>
      <c r="E11" s="2" t="s">
        <v>7</v>
      </c>
      <c r="F11" s="2">
        <v>130</v>
      </c>
      <c r="G11" s="2">
        <v>78</v>
      </c>
      <c r="H11" s="2">
        <v>0.4</v>
      </c>
      <c r="J11" s="9">
        <v>45661</v>
      </c>
      <c r="K11" s="11">
        <v>85</v>
      </c>
    </row>
    <row r="12" spans="1:11" x14ac:dyDescent="0.3">
      <c r="A12" s="3">
        <v>45661</v>
      </c>
      <c r="B12" s="2" t="s">
        <v>8</v>
      </c>
      <c r="C12" s="2">
        <v>20</v>
      </c>
      <c r="D12" s="2">
        <v>4</v>
      </c>
      <c r="E12" s="2" t="s">
        <v>9</v>
      </c>
      <c r="F12" s="2">
        <v>260</v>
      </c>
      <c r="G12" s="2">
        <v>85</v>
      </c>
      <c r="H12" s="2">
        <v>0.5</v>
      </c>
      <c r="J12" s="8">
        <v>45661</v>
      </c>
      <c r="K12" s="12">
        <v>80</v>
      </c>
    </row>
    <row r="13" spans="1:11" x14ac:dyDescent="0.3">
      <c r="A13" s="3">
        <v>45661</v>
      </c>
      <c r="B13" s="2" t="s">
        <v>10</v>
      </c>
      <c r="C13" s="2">
        <v>24</v>
      </c>
      <c r="D13" s="2">
        <v>0</v>
      </c>
      <c r="E13" s="2" t="s">
        <v>11</v>
      </c>
      <c r="F13" s="2">
        <v>510</v>
      </c>
      <c r="G13" s="2">
        <v>80</v>
      </c>
      <c r="H13" s="2">
        <v>0.5</v>
      </c>
      <c r="J13" s="9">
        <v>45662</v>
      </c>
      <c r="K13" s="11">
        <v>82</v>
      </c>
    </row>
    <row r="14" spans="1:11" x14ac:dyDescent="0.3">
      <c r="A14" s="3">
        <v>45662</v>
      </c>
      <c r="B14" s="2" t="s">
        <v>6</v>
      </c>
      <c r="C14" s="2">
        <v>17</v>
      </c>
      <c r="D14" s="2">
        <v>7</v>
      </c>
      <c r="E14" s="2" t="s">
        <v>14</v>
      </c>
      <c r="F14" s="2">
        <v>90</v>
      </c>
      <c r="G14" s="2">
        <v>82</v>
      </c>
      <c r="H14" s="2">
        <v>0.5</v>
      </c>
      <c r="J14" s="8">
        <v>45662</v>
      </c>
      <c r="K14" s="12">
        <v>89</v>
      </c>
    </row>
    <row r="15" spans="1:11" x14ac:dyDescent="0.3">
      <c r="A15" s="3">
        <v>45662</v>
      </c>
      <c r="B15" s="2" t="s">
        <v>8</v>
      </c>
      <c r="C15" s="2">
        <v>23</v>
      </c>
      <c r="D15" s="2">
        <v>1</v>
      </c>
      <c r="E15" s="2" t="s">
        <v>11</v>
      </c>
      <c r="F15" s="2">
        <v>310</v>
      </c>
      <c r="G15" s="2">
        <v>89</v>
      </c>
      <c r="H15" s="2">
        <v>0.6</v>
      </c>
      <c r="J15" s="9">
        <v>45662</v>
      </c>
      <c r="K15" s="11">
        <v>77</v>
      </c>
    </row>
    <row r="16" spans="1:11" x14ac:dyDescent="0.3">
      <c r="A16" s="3">
        <v>45662</v>
      </c>
      <c r="B16" s="2" t="s">
        <v>10</v>
      </c>
      <c r="C16" s="2">
        <v>21</v>
      </c>
      <c r="D16" s="2">
        <v>3</v>
      </c>
      <c r="E16" s="2" t="s">
        <v>13</v>
      </c>
      <c r="F16" s="2">
        <v>460</v>
      </c>
      <c r="G16" s="2">
        <v>77</v>
      </c>
      <c r="H16" s="2">
        <v>0.4</v>
      </c>
      <c r="J16" s="8">
        <v>45663</v>
      </c>
      <c r="K16" s="12">
        <v>74</v>
      </c>
    </row>
    <row r="17" spans="1:11" x14ac:dyDescent="0.3">
      <c r="A17" s="3">
        <v>45663</v>
      </c>
      <c r="B17" s="2" t="s">
        <v>6</v>
      </c>
      <c r="C17" s="2">
        <v>20</v>
      </c>
      <c r="D17" s="2">
        <v>4</v>
      </c>
      <c r="E17" s="2" t="s">
        <v>7</v>
      </c>
      <c r="F17" s="2">
        <v>115</v>
      </c>
      <c r="G17" s="2">
        <v>74</v>
      </c>
      <c r="H17" s="2">
        <v>0.3</v>
      </c>
      <c r="J17" s="9">
        <v>45663</v>
      </c>
      <c r="K17" s="11">
        <v>91</v>
      </c>
    </row>
    <row r="18" spans="1:11" x14ac:dyDescent="0.3">
      <c r="A18" s="3">
        <v>45663</v>
      </c>
      <c r="B18" s="2" t="s">
        <v>8</v>
      </c>
      <c r="C18" s="2">
        <v>22</v>
      </c>
      <c r="D18" s="2">
        <v>2</v>
      </c>
      <c r="E18" s="2" t="s">
        <v>12</v>
      </c>
      <c r="F18" s="2">
        <v>295</v>
      </c>
      <c r="G18" s="2">
        <v>91</v>
      </c>
      <c r="H18" s="2">
        <v>0.6</v>
      </c>
      <c r="J18" s="8">
        <v>45663</v>
      </c>
      <c r="K18" s="12">
        <v>69</v>
      </c>
    </row>
    <row r="19" spans="1:11" x14ac:dyDescent="0.3">
      <c r="A19" s="3">
        <v>45663</v>
      </c>
      <c r="B19" s="2" t="s">
        <v>10</v>
      </c>
      <c r="C19" s="2">
        <v>24</v>
      </c>
      <c r="D19" s="2">
        <v>0</v>
      </c>
      <c r="E19" s="2" t="s">
        <v>11</v>
      </c>
      <c r="F19" s="2">
        <v>505</v>
      </c>
      <c r="G19" s="2">
        <v>69</v>
      </c>
      <c r="H19" s="2">
        <v>0.3</v>
      </c>
      <c r="J19" s="9">
        <v>45664</v>
      </c>
      <c r="K19" s="11">
        <v>73</v>
      </c>
    </row>
    <row r="20" spans="1:11" x14ac:dyDescent="0.3">
      <c r="A20" s="3">
        <v>45664</v>
      </c>
      <c r="B20" s="2" t="s">
        <v>6</v>
      </c>
      <c r="C20" s="2">
        <v>18</v>
      </c>
      <c r="D20" s="2">
        <v>6</v>
      </c>
      <c r="E20" s="2" t="s">
        <v>14</v>
      </c>
      <c r="F20" s="2">
        <v>95</v>
      </c>
      <c r="G20" s="2">
        <v>73</v>
      </c>
      <c r="H20" s="2">
        <v>0.2</v>
      </c>
      <c r="J20" s="8">
        <v>45664</v>
      </c>
      <c r="K20" s="12">
        <v>87</v>
      </c>
    </row>
    <row r="21" spans="1:11" x14ac:dyDescent="0.3">
      <c r="A21" s="3">
        <v>45664</v>
      </c>
      <c r="B21" s="2" t="s">
        <v>8</v>
      </c>
      <c r="C21" s="2">
        <v>21</v>
      </c>
      <c r="D21" s="2">
        <v>3</v>
      </c>
      <c r="E21" s="2" t="s">
        <v>9</v>
      </c>
      <c r="F21" s="2">
        <v>275</v>
      </c>
      <c r="G21" s="2">
        <v>87</v>
      </c>
      <c r="H21" s="2">
        <v>0.5</v>
      </c>
      <c r="J21" s="10">
        <v>45664</v>
      </c>
      <c r="K21" s="13">
        <v>76</v>
      </c>
    </row>
    <row r="22" spans="1:11" x14ac:dyDescent="0.3">
      <c r="A22" s="3">
        <v>45664</v>
      </c>
      <c r="B22" s="2" t="s">
        <v>10</v>
      </c>
      <c r="C22" s="2">
        <v>23</v>
      </c>
      <c r="D22" s="2">
        <v>1</v>
      </c>
      <c r="E22" s="2" t="s">
        <v>13</v>
      </c>
      <c r="F22" s="2">
        <v>485</v>
      </c>
      <c r="G22" s="2">
        <v>76</v>
      </c>
      <c r="H22" s="2">
        <v>0.4</v>
      </c>
      <c r="K22" s="13"/>
    </row>
    <row r="23" spans="1:11" x14ac:dyDescent="0.3">
      <c r="A23" s="3"/>
      <c r="B23" s="2"/>
      <c r="C23" s="2"/>
      <c r="D23" s="2"/>
      <c r="E23" s="2"/>
      <c r="F23" s="2"/>
    </row>
    <row r="24" spans="1:11" x14ac:dyDescent="0.3">
      <c r="A24" s="3"/>
      <c r="B24" s="2"/>
      <c r="C24" s="2"/>
      <c r="D24" s="2"/>
      <c r="E24" s="2"/>
      <c r="F24" s="2"/>
    </row>
    <row r="25" spans="1:11" x14ac:dyDescent="0.3">
      <c r="A25" s="3"/>
      <c r="B25" s="2"/>
      <c r="C25" s="2"/>
      <c r="D25" s="2"/>
      <c r="E25" s="2"/>
      <c r="F25" s="2"/>
    </row>
    <row r="26" spans="1:11" x14ac:dyDescent="0.3">
      <c r="A26" s="3"/>
      <c r="B26" s="2"/>
      <c r="C26" s="2"/>
      <c r="D26" s="2"/>
      <c r="E26" s="2"/>
      <c r="F26" s="2"/>
    </row>
    <row r="27" spans="1:11" x14ac:dyDescent="0.3">
      <c r="A27" s="3"/>
      <c r="B27" s="2"/>
      <c r="C27" s="2"/>
      <c r="D27" s="2"/>
      <c r="E27" s="2"/>
      <c r="F27" s="2"/>
    </row>
    <row r="28" spans="1:11" x14ac:dyDescent="0.3">
      <c r="A28" s="3"/>
      <c r="B28" s="2"/>
      <c r="C28" s="2"/>
      <c r="D28" s="2"/>
      <c r="E28" s="2"/>
      <c r="F28" s="2"/>
    </row>
    <row r="29" spans="1:11" x14ac:dyDescent="0.3">
      <c r="A29" s="3"/>
      <c r="B29" s="2"/>
      <c r="C29" s="2"/>
      <c r="D29" s="2"/>
      <c r="E29" s="2"/>
      <c r="F29" s="2"/>
    </row>
    <row r="30" spans="1:11" x14ac:dyDescent="0.3">
      <c r="A30" s="3"/>
      <c r="B30" s="2"/>
      <c r="C30" s="2"/>
      <c r="D30" s="2"/>
      <c r="E30" s="2"/>
      <c r="F30" s="2"/>
    </row>
    <row r="31" spans="1:11" x14ac:dyDescent="0.3">
      <c r="A31" s="3"/>
      <c r="B31" s="2"/>
      <c r="C31" s="2"/>
      <c r="D31" s="2"/>
      <c r="E31" s="2"/>
      <c r="F31" s="2"/>
    </row>
    <row r="32" spans="1:11" x14ac:dyDescent="0.3">
      <c r="A32" s="3"/>
      <c r="B32" s="2"/>
      <c r="C32" s="2"/>
      <c r="D32" s="2"/>
      <c r="E32" s="2"/>
      <c r="F32" s="2"/>
    </row>
    <row r="33" spans="1:6" x14ac:dyDescent="0.3">
      <c r="A33" s="3"/>
      <c r="B33" s="2"/>
      <c r="C33" s="2"/>
      <c r="D33" s="2"/>
      <c r="E33" s="2"/>
      <c r="F33" s="2"/>
    </row>
    <row r="34" spans="1:6" x14ac:dyDescent="0.3">
      <c r="A34" s="3"/>
      <c r="B34" s="2"/>
      <c r="C34" s="2"/>
      <c r="D34" s="2"/>
      <c r="E34" s="2"/>
      <c r="F34" s="2"/>
    </row>
    <row r="35" spans="1:6" x14ac:dyDescent="0.3">
      <c r="A35" s="3"/>
      <c r="B35" s="2"/>
      <c r="C35" s="2"/>
      <c r="D35" s="2"/>
      <c r="E35" s="2"/>
      <c r="F35" s="2"/>
    </row>
    <row r="36" spans="1:6" x14ac:dyDescent="0.3">
      <c r="A36" s="3"/>
      <c r="B36" s="2"/>
      <c r="C36" s="2"/>
      <c r="D36" s="2"/>
      <c r="E36" s="2"/>
      <c r="F36" s="2"/>
    </row>
    <row r="37" spans="1:6" x14ac:dyDescent="0.3">
      <c r="A37" s="3"/>
      <c r="B37" s="2"/>
      <c r="C37" s="2"/>
      <c r="D37" s="2"/>
      <c r="E37" s="2"/>
      <c r="F37" s="2"/>
    </row>
    <row r="38" spans="1:6" x14ac:dyDescent="0.3">
      <c r="A38" s="3"/>
      <c r="B38" s="2"/>
      <c r="C38" s="2"/>
      <c r="D38" s="2"/>
      <c r="E38" s="2"/>
      <c r="F38" s="2"/>
    </row>
    <row r="39" spans="1:6" x14ac:dyDescent="0.3">
      <c r="A39" s="3"/>
      <c r="B39" s="2"/>
      <c r="C39" s="2"/>
      <c r="D39" s="2"/>
      <c r="E39" s="2"/>
      <c r="F39" s="2"/>
    </row>
    <row r="40" spans="1:6" x14ac:dyDescent="0.3">
      <c r="A40" s="3"/>
      <c r="B40" s="2"/>
      <c r="C40" s="2"/>
      <c r="D40" s="2"/>
      <c r="E40" s="2"/>
      <c r="F40" s="2"/>
    </row>
    <row r="41" spans="1:6" x14ac:dyDescent="0.3">
      <c r="A41" s="3"/>
      <c r="B41" s="2"/>
      <c r="C41" s="2"/>
      <c r="D41" s="2"/>
      <c r="E41" s="2"/>
      <c r="F41" s="2"/>
    </row>
    <row r="42" spans="1:6" x14ac:dyDescent="0.3">
      <c r="A42" s="3"/>
      <c r="B42" s="2"/>
      <c r="C42" s="2"/>
      <c r="D42" s="2"/>
      <c r="E42" s="2"/>
      <c r="F42" s="2"/>
    </row>
    <row r="43" spans="1:6" x14ac:dyDescent="0.3">
      <c r="A43" s="3"/>
      <c r="B43" s="2"/>
      <c r="C43" s="2"/>
      <c r="D43" s="2"/>
      <c r="E43" s="2"/>
      <c r="F43" s="2"/>
    </row>
  </sheetData>
  <phoneticPr fontId="3" type="noConversion"/>
  <conditionalFormatting sqref="G1:G22">
    <cfRule type="cellIs" dxfId="2" priority="3" operator="greaterThan">
      <formula>85</formula>
    </cfRule>
  </conditionalFormatting>
  <conditionalFormatting sqref="H1:H22">
    <cfRule type="cellIs" dxfId="1" priority="2" operator="greaterThan">
      <formula>0.5</formula>
    </cfRule>
  </conditionalFormatting>
  <conditionalFormatting sqref="K1:K22">
    <cfRule type="cellIs" dxfId="0" priority="1" operator="greaterThan">
      <formula>85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2E149A-50D4-477F-8E13-FC4626473B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Sheet1</vt:lpstr>
      <vt:lpstr>Sheet4</vt:lpstr>
      <vt:lpstr>Sheet5</vt:lpstr>
      <vt:lpstr>Dashboard</vt:lpstr>
      <vt:lpstr>Sheet6</vt:lpstr>
      <vt:lpstr>dataset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مها  عبدالله ذعار العضياني</dc:creator>
  <cp:lastModifiedBy>مها  عبدالله ذعار العضياني</cp:lastModifiedBy>
  <dcterms:created xsi:type="dcterms:W3CDTF">2026-04-01T15:01:55Z</dcterms:created>
  <dcterms:modified xsi:type="dcterms:W3CDTF">2026-06-07T03:24:06Z</dcterms:modified>
</cp:coreProperties>
</file>